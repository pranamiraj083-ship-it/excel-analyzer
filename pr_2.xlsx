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excel_project\"/>
    </mc:Choice>
  </mc:AlternateContent>
  <xr:revisionPtr revIDLastSave="0" documentId="13_ncr:1_{6821EFE0-2925-4239-B632-E080E44267BB}" xr6:coauthVersionLast="47" xr6:coauthVersionMax="47" xr10:uidLastSave="{00000000-0000-0000-0000-000000000000}"/>
  <bookViews>
    <workbookView xWindow="-110" yWindow="-110" windowWidth="19420" windowHeight="10300" tabRatio="835" firstSheet="7" activeTab="11" xr2:uid="{2E45D887-F732-4D33-9485-AC6F7B7AC330}"/>
  </bookViews>
  <sheets>
    <sheet name="Sheet20" sheetId="20" r:id="rId1"/>
    <sheet name="sales_data" sheetId="1" r:id="rId2"/>
    <sheet name="conditional formating" sheetId="2" r:id="rId3"/>
    <sheet name="what_if_analysis" sheetId="3" r:id="rId4"/>
    <sheet name="regression" sheetId="10" r:id="rId5"/>
    <sheet name="descriptive_stats" sheetId="11" r:id="rId6"/>
    <sheet name="monthaly analysis" sheetId="14" r:id="rId7"/>
    <sheet name="customer analysis" sheetId="6" r:id="rId8"/>
    <sheet name="pivot_analysis" sheetId="17" r:id="rId9"/>
    <sheet name="bar chart by region" sheetId="18" r:id="rId10"/>
    <sheet name="pie chart" sheetId="19" r:id="rId11"/>
    <sheet name="dashboard" sheetId="8" r:id="rId12"/>
  </sheets>
  <definedNames>
    <definedName name="_xlnm._FilterDatabase" localSheetId="7" hidden="1">'customer analysis'!$A$1:$E$31</definedName>
    <definedName name="Slicer_Product_Category">#N/A</definedName>
    <definedName name="Slicer_Region">#N/A</definedName>
    <definedName name="Slicer_Region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8" l="1"/>
  <c r="B14" i="8"/>
  <c r="B13" i="8"/>
  <c r="B12" i="8"/>
  <c r="C3" i="6"/>
  <c r="D3" i="6" s="1"/>
  <c r="E3" i="6" s="1"/>
  <c r="C4" i="6"/>
  <c r="C5" i="6"/>
  <c r="D5" i="6" s="1"/>
  <c r="E5" i="6" s="1"/>
  <c r="C6" i="6"/>
  <c r="D4" i="6" s="1"/>
  <c r="E4" i="6" s="1"/>
  <c r="C7" i="6"/>
  <c r="D7" i="6" s="1"/>
  <c r="E7" i="6" s="1"/>
  <c r="C8" i="6"/>
  <c r="D8" i="6" s="1"/>
  <c r="E8" i="6" s="1"/>
  <c r="C9" i="6"/>
  <c r="D9" i="6" s="1"/>
  <c r="E9" i="6" s="1"/>
  <c r="C10" i="6"/>
  <c r="D10" i="6" s="1"/>
  <c r="E10" i="6" s="1"/>
  <c r="C11" i="6"/>
  <c r="D11" i="6" s="1"/>
  <c r="E11" i="6" s="1"/>
  <c r="C12" i="6"/>
  <c r="C13" i="6"/>
  <c r="D13" i="6" s="1"/>
  <c r="E13" i="6" s="1"/>
  <c r="C14" i="6"/>
  <c r="D14" i="6" s="1"/>
  <c r="E14" i="6" s="1"/>
  <c r="C15" i="6"/>
  <c r="D15" i="6" s="1"/>
  <c r="E15" i="6" s="1"/>
  <c r="C16" i="6"/>
  <c r="D16" i="6" s="1"/>
  <c r="E16" i="6" s="1"/>
  <c r="C17" i="6"/>
  <c r="D17" i="6" s="1"/>
  <c r="E17" i="6" s="1"/>
  <c r="C18" i="6"/>
  <c r="D18" i="6" s="1"/>
  <c r="E18" i="6" s="1"/>
  <c r="C19" i="6"/>
  <c r="D19" i="6" s="1"/>
  <c r="E19" i="6" s="1"/>
  <c r="C20" i="6"/>
  <c r="C21" i="6"/>
  <c r="D21" i="6" s="1"/>
  <c r="E21" i="6" s="1"/>
  <c r="C22" i="6"/>
  <c r="D22" i="6" s="1"/>
  <c r="E22" i="6" s="1"/>
  <c r="C23" i="6"/>
  <c r="D23" i="6" s="1"/>
  <c r="E23" i="6" s="1"/>
  <c r="C24" i="6"/>
  <c r="D24" i="6" s="1"/>
  <c r="E24" i="6" s="1"/>
  <c r="C25" i="6"/>
  <c r="D25" i="6" s="1"/>
  <c r="E25" i="6" s="1"/>
  <c r="C26" i="6"/>
  <c r="D26" i="6" s="1"/>
  <c r="E26" i="6" s="1"/>
  <c r="C27" i="6"/>
  <c r="D27" i="6" s="1"/>
  <c r="E27" i="6" s="1"/>
  <c r="C28" i="6"/>
  <c r="C29" i="6"/>
  <c r="D29" i="6" s="1"/>
  <c r="E29" i="6" s="1"/>
  <c r="C30" i="6"/>
  <c r="D30" i="6" s="1"/>
  <c r="E30" i="6" s="1"/>
  <c r="C31" i="6"/>
  <c r="D31" i="6" s="1"/>
  <c r="E31" i="6" s="1"/>
  <c r="C2" i="6"/>
  <c r="D2" i="6" s="1"/>
  <c r="E2" i="6" s="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2"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C5" i="14"/>
  <c r="B3" i="14"/>
  <c r="E3" i="14" s="1"/>
  <c r="B4" i="14"/>
  <c r="B5" i="14"/>
  <c r="E5" i="14" s="1"/>
  <c r="B6" i="14"/>
  <c r="B7" i="14"/>
  <c r="B8" i="14"/>
  <c r="B9" i="14"/>
  <c r="B10" i="14"/>
  <c r="B11" i="14"/>
  <c r="B12" i="14"/>
  <c r="C13" i="14" s="1"/>
  <c r="B13" i="14"/>
  <c r="E13" i="14" s="1"/>
  <c r="B14" i="14"/>
  <c r="B2" i="14"/>
  <c r="C3" i="14" s="1"/>
  <c r="A4" i="14"/>
  <c r="A5" i="14"/>
  <c r="A6" i="14" s="1"/>
  <c r="A7" i="14" s="1"/>
  <c r="A8" i="14" s="1"/>
  <c r="A9" i="14" s="1"/>
  <c r="A10" i="14" s="1"/>
  <c r="A11" i="14" s="1"/>
  <c r="A12" i="14" s="1"/>
  <c r="A13" i="14" s="1"/>
  <c r="A14" i="14" s="1"/>
  <c r="A3" i="14"/>
  <c r="A2" i="14"/>
  <c r="D20" i="6" l="1"/>
  <c r="E20" i="6" s="1"/>
  <c r="D12" i="6"/>
  <c r="E12" i="6" s="1"/>
  <c r="D28" i="6"/>
  <c r="E28" i="6" s="1"/>
  <c r="D6" i="6"/>
  <c r="E6" i="6" s="1"/>
  <c r="E9" i="14"/>
  <c r="E11" i="14"/>
  <c r="D8" i="14"/>
  <c r="D4" i="14"/>
  <c r="C11" i="14"/>
  <c r="D11" i="14" s="1"/>
  <c r="D3" i="14"/>
  <c r="C10" i="14"/>
  <c r="D10" i="14" s="1"/>
  <c r="C9" i="14"/>
  <c r="D9" i="14" s="1"/>
  <c r="D13" i="14"/>
  <c r="D5" i="14"/>
  <c r="C8" i="14"/>
  <c r="E8" i="14" s="1"/>
  <c r="D12" i="14"/>
  <c r="E12" i="14"/>
  <c r="C7" i="14"/>
  <c r="D7" i="14" s="1"/>
  <c r="C14" i="14"/>
  <c r="E14" i="14" s="1"/>
  <c r="C6" i="14"/>
  <c r="E6" i="14" s="1"/>
  <c r="C12" i="14"/>
  <c r="C4" i="14"/>
  <c r="E4" i="14" s="1"/>
  <c r="D14" i="14" l="1"/>
  <c r="E7" i="14"/>
  <c r="D6" i="14"/>
  <c r="E10" i="14"/>
  <c r="B3" i="3" l="1" a="1"/>
  <c r="B3" i="3" s="1"/>
  <c r="B4" i="3" a="1"/>
  <c r="B4" i="3" s="1"/>
  <c r="B5" i="3" a="1"/>
  <c r="B5" i="3" s="1"/>
  <c r="B6" i="3" a="1"/>
  <c r="B6" i="3" s="1"/>
  <c r="B2" i="3" a="1"/>
  <c r="B2" i="3" s="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<sst xmlns="http://schemas.openxmlformats.org/spreadsheetml/2006/main" count="1007" uniqueCount="136">
  <si>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</si>
  <si>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</si>
  <si>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</si>
  <si>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</si>
  <si>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</si>
  <si>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</si>
  <si>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</si>
  <si>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</si>
  <si>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</si>
  <si>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</si>
  <si>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</si>
  <si>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</si>
  <si>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</si>
  <si>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</si>
  <si>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</si>
  <si>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</si>
  <si>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</si>
  <si>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</si>
  <si>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</si>
  <si>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</si>
  <si>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</si>
  <si>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</si>
  <si>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</si>
  <si>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</si>
  <si>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</si>
  <si>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</si>
  <si>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</si>
  <si>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</si>
  <si>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</si>
  <si>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</si>
  <si>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</si>
  <si>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</si>
  <si>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</si>
  <si>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</si>
  <si>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</si>
  <si>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</si>
  <si>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</si>
  <si>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</si>
  <si>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</si>
  <si>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</si>
  <si>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</si>
  <si>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</si>
  <si>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</si>
  <si>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</si>
  <si>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</si>
  <si>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</si>
  <si>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</si>
  <si>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</si>
  <si>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</si>
  <si>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</si>
  <si>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</si>
  <si>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</si>
  <si>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</si>
  <si>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</si>
  <si>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</si>
  <si>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</si>
  <si>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</si>
  <si>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</si>
  <si>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</si>
  <si>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</si>
  <si>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</si>
  <si>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</si>
  <si>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</si>
  <si>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</si>
  <si>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</si>
  <si>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</si>
  <si>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</si>
  <si>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</si>
  <si>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</si>
  <si>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</si>
  <si>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</si>
  <si>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</si>
  <si>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</si>
  <si>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</si>
  <si>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</si>
  <si>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</si>
  <si>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total_purchase</t>
  </si>
  <si>
    <t>simulated_profit</t>
  </si>
  <si>
    <t>discount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</si>
  <si>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</si>
  <si>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</si>
  <si>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</si>
  <si>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</si>
  <si>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</si>
  <si>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</si>
  <si>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</si>
  <si>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</si>
  <si>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</si>
  <si>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</si>
  <si>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</si>
  <si>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</si>
  <si>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</si>
  <si>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</si>
  <si>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</si>
  <si>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</si>
  <si>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</si>
  <si>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</si>
  <si>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</si>
  <si>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</si>
  <si>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</si>
  <si>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</si>
  <si>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</si>
  <si>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</si>
  <si>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</si>
  <si>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</si>
  <si>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</si>
  <si>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</si>
  <si>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</si>
  <si>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</si>
  <si>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</si>
  <si>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</si>
  <si>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</si>
  <si>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</si>
  <si>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</si>
  <si>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</si>
  <si>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 xml:space="preserve">month </t>
  </si>
  <si>
    <t>total_sale</t>
  </si>
  <si>
    <t>previous_month_sale</t>
  </si>
  <si>
    <t>growth</t>
  </si>
  <si>
    <t>trend</t>
  </si>
  <si>
    <t>analysis_timestamp</t>
  </si>
  <si>
    <t>custmer_id</t>
  </si>
  <si>
    <t>customer-name</t>
  </si>
  <si>
    <t>customer_rank</t>
  </si>
  <si>
    <t>customer_category</t>
  </si>
  <si>
    <t>Row Labels</t>
  </si>
  <si>
    <t>Grand Total</t>
  </si>
  <si>
    <t>Sum of Sales</t>
  </si>
  <si>
    <t>Column Labels</t>
  </si>
  <si>
    <t>KPI</t>
  </si>
  <si>
    <t>FORMULA</t>
  </si>
  <si>
    <t>Total sales</t>
  </si>
  <si>
    <t>Total Profit</t>
  </si>
  <si>
    <t>Total Orders</t>
  </si>
  <si>
    <t>Average Sales</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</si>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</sst>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mmm/yyyy"/>
    <numFmt numFmtId="166" formatCode="dd/mm/yyyy\ hh:mm:ss"/>
  </numFmts>
  <fonts count="7" x14ac:knownFonts="1">
    <font>
      <sz val="11"/>
      <color theme="1"/>
      <name val="Calibri"/>
      <family val="2"/>
      <scheme val="minor"/>
    </font>
    <font>
      <b/>
      <sz val="11"/>
      <color theme="0"/>
      <name val="Calibri"/>
      <family val="2"/>
      <scheme val="minor"/>
    </font>
    <font>
      <i/>
      <sz val="11"/>
      <color theme="1"/>
      <name val="Calibri"/>
      <family val="2"/>
      <scheme val="minor"/>
    </font>
    <font>
      <sz val="18"/>
      <color theme="1"/>
      <name val="Calibri"/>
      <family val="2"/>
      <scheme val="minor"/>
    </font>
    <font>
      <b/>
      <sz val="18"/>
      <color theme="1"/>
      <name val="Calibri"/>
      <family val="2"/>
      <scheme val="minor"/>
    </font>
    <font>
      <sz val="20"/>
      <color theme="1"/>
      <name val="Calibri"/>
      <family val="2"/>
      <scheme val="minor"/>
    </font>
    <font>
      <b/>
      <sz val="36"/>
      <color theme="2"/>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499984740745262"/>
        <bgColor indexed="64"/>
      </patternFill>
    </fill>
  </fills>
  <borders count="1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6">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10" fontId="0" fillId="0" borderId="0" xfId="0" applyNumberFormat="1"/>
    <xf numFmtId="9" fontId="0" fillId="3" borderId="1" xfId="0" applyNumberFormat="1" applyFill="1" applyBorder="1"/>
    <xf numFmtId="9" fontId="0" fillId="0" borderId="1" xfId="0" applyNumberFormat="1" applyBorder="1"/>
    <xf numFmtId="164" fontId="0" fillId="0" borderId="0" xfId="0" applyNumberFormat="1"/>
    <xf numFmtId="0" fontId="0" fillId="0" borderId="3" xfId="0" applyBorder="1"/>
    <xf numFmtId="0" fontId="2" fillId="0" borderId="4" xfId="0" applyFont="1" applyBorder="1" applyAlignment="1">
      <alignment horizontal="center"/>
    </xf>
    <xf numFmtId="0" fontId="2" fillId="0" borderId="4" xfId="0" applyFont="1" applyBorder="1" applyAlignment="1">
      <alignment horizontal="centerContinuous"/>
    </xf>
    <xf numFmtId="165" fontId="1" fillId="2" borderId="1" xfId="0" applyNumberFormat="1" applyFont="1" applyFill="1" applyBorder="1"/>
    <xf numFmtId="165" fontId="0" fillId="0" borderId="0" xfId="0" applyNumberFormat="1"/>
    <xf numFmtId="0" fontId="0" fillId="0" borderId="0" xfId="0" applyAlignment="1">
      <alignment horizontal="center" vertical="center"/>
    </xf>
    <xf numFmtId="166"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0" fontId="3" fillId="0" borderId="0" xfId="0" applyFont="1"/>
    <xf numFmtId="0" fontId="5" fillId="0" borderId="0" xfId="0" pivotButton="1" applyFont="1"/>
    <xf numFmtId="0" fontId="5" fillId="0" borderId="0" xfId="0" applyFont="1"/>
    <xf numFmtId="0" fontId="5" fillId="0" borderId="0" xfId="0" applyFont="1" applyAlignment="1">
      <alignment horizontal="left"/>
    </xf>
    <xf numFmtId="0" fontId="4" fillId="0" borderId="0" xfId="0" applyFont="1" applyAlignment="1">
      <alignment horizontal="center"/>
    </xf>
    <xf numFmtId="0" fontId="6" fillId="4" borderId="0" xfId="0" applyFont="1" applyFill="1" applyAlignment="1">
      <alignment horizontal="center" vertical="center"/>
    </xf>
  </cellXfs>
  <cellStyles count="1">
    <cellStyle name="Normal" xfId="0" builtinId="0"/>
  </cellStyles>
  <dxfs count="14">
    <dxf>
      <fill>
        <patternFill>
          <bgColor rgb="FF00B050"/>
        </patternFill>
      </fill>
    </dxf>
    <dxf>
      <fill>
        <patternFill>
          <bgColor rgb="FF92D050"/>
        </patternFill>
      </fill>
    </dxf>
    <dxf>
      <font>
        <color rgb="FF00B050"/>
      </font>
    </dxf>
    <dxf>
      <font>
        <color rgb="FF006100"/>
      </font>
      <fill>
        <patternFill>
          <bgColor rgb="FFC6EFCE"/>
        </patternFill>
      </fill>
    </dxf>
    <dxf>
      <font>
        <sz val="20"/>
      </font>
    </dxf>
    <dxf>
      <font>
        <sz val="20"/>
      </font>
    </dxf>
    <dxf>
      <font>
        <sz val="20"/>
      </font>
    </dxf>
    <dxf>
      <font>
        <sz val="20"/>
      </font>
    </dxf>
    <dxf>
      <font>
        <sz val="20"/>
      </font>
    </dxf>
    <dxf>
      <font>
        <sz val="20"/>
      </font>
    </dxf>
    <dxf>
      <numFmt numFmtId="164" formatCode="&quot;₹&quot;\ #,##0.00"/>
    </dxf>
    <dxf>
      <numFmt numFmtId="164" formatCode="&quot;₹&quot;\ #,##0.00"/>
    </dxf>
    <dxf>
      <numFmt numFmtId="166" formatCode="dd/mm/yyyy\ 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impact of discount on simuated profit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what_if_analysis!$B$1</c:f>
              <c:strCache>
                <c:ptCount val="1"/>
                <c:pt idx="0">
                  <c:v>simulated_profit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numRef>
              <c:f>what_if_analysis!$A$2:$A$6</c:f>
              <c:numCache>
                <c:formatCode>0%</c:formatCode>
                <c:ptCount val="5"/>
                <c:pt idx="0">
                  <c:v>0</c:v>
                </c:pt>
                <c:pt idx="1">
                  <c:v>0.05</c:v>
                </c:pt>
                <c:pt idx="2">
                  <c:v>0.1</c:v>
                </c:pt>
                <c:pt idx="3">
                  <c:v>0.15</c:v>
                </c:pt>
                <c:pt idx="4">
                  <c:v>0.2</c:v>
                </c:pt>
              </c:numCache>
            </c:numRef>
          </c:cat>
          <c:val>
            <c:numRef>
              <c:f>what_if_analysis!$A$2:$A$6</c:f>
              <c:numCache>
                <c:formatCode>0%</c:formatCode>
                <c:ptCount val="5"/>
                <c:pt idx="0">
                  <c:v>0</c:v>
                </c:pt>
                <c:pt idx="1">
                  <c:v>0.05</c:v>
                </c:pt>
                <c:pt idx="2">
                  <c:v>0.1</c:v>
                </c:pt>
                <c:pt idx="3">
                  <c:v>0.15</c:v>
                </c:pt>
                <c:pt idx="4">
                  <c:v>0.2</c:v>
                </c:pt>
              </c:numCache>
            </c:numRef>
          </c:val>
          <c:extLst>
            <c:ext xmlns:c16="http://schemas.microsoft.com/office/drawing/2014/chart" uri="{C3380CC4-5D6E-409C-BE32-E72D297353CC}">
              <c16:uniqueId val="{00000000-ECD3-40F7-97D1-8349017CC65A}"/>
            </c:ext>
          </c:extLst>
        </c:ser>
        <c:ser>
          <c:idx val="1"/>
          <c:order val="1"/>
          <c:tx>
            <c:strRef>
              <c:f>what_if_analysis!$A$1</c:f>
              <c:strCache>
                <c:ptCount val="1"/>
                <c:pt idx="0">
                  <c:v>discount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numRef>
              <c:f>what_if_analysis!$A$2:$A$6</c:f>
              <c:numCache>
                <c:formatCode>0%</c:formatCode>
                <c:ptCount val="5"/>
                <c:pt idx="0">
                  <c:v>0</c:v>
                </c:pt>
                <c:pt idx="1">
                  <c:v>0.05</c:v>
                </c:pt>
                <c:pt idx="2">
                  <c:v>0.1</c:v>
                </c:pt>
                <c:pt idx="3">
                  <c:v>0.15</c:v>
                </c:pt>
                <c:pt idx="4">
                  <c:v>0.2</c:v>
                </c:pt>
              </c:numCache>
            </c:numRef>
          </c:cat>
          <c:val>
            <c:numRef>
              <c:f>what_if_analysis!$B$2:$B$6</c:f>
              <c:numCache>
                <c:formatCode>"₹"\ #,##0.00</c:formatCode>
                <c:ptCount val="5"/>
                <c:pt idx="0">
                  <c:v>87559.767500000016</c:v>
                </c:pt>
                <c:pt idx="1">
                  <c:v>77311.916000000012</c:v>
                </c:pt>
                <c:pt idx="2">
                  <c:v>67052.194500000027</c:v>
                </c:pt>
                <c:pt idx="3">
                  <c:v>57219.836000000032</c:v>
                </c:pt>
                <c:pt idx="4">
                  <c:v>47477.830000000031</c:v>
                </c:pt>
              </c:numCache>
            </c:numRef>
          </c:val>
          <c:extLst>
            <c:ext xmlns:c16="http://schemas.microsoft.com/office/drawing/2014/chart" uri="{C3380CC4-5D6E-409C-BE32-E72D297353CC}">
              <c16:uniqueId val="{00000001-ECD3-40F7-97D1-8349017CC65A}"/>
            </c:ext>
          </c:extLst>
        </c:ser>
        <c:dLbls>
          <c:showLegendKey val="0"/>
          <c:showVal val="0"/>
          <c:showCatName val="0"/>
          <c:showSerName val="0"/>
          <c:showPercent val="0"/>
          <c:showBubbleSize val="0"/>
        </c:dLbls>
        <c:gapWidth val="355"/>
        <c:overlap val="-70"/>
        <c:axId val="1525671535"/>
        <c:axId val="1270987183"/>
      </c:barChart>
      <c:catAx>
        <c:axId val="152567153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87183"/>
        <c:crosses val="autoZero"/>
        <c:auto val="1"/>
        <c:lblAlgn val="ctr"/>
        <c:lblOffset val="100"/>
        <c:noMultiLvlLbl val="0"/>
      </c:catAx>
      <c:valAx>
        <c:axId val="12709871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67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'monthaly analysis'!$B$1</c:f>
              <c:strCache>
                <c:ptCount val="1"/>
                <c:pt idx="0">
                  <c:v>total_sale</c:v>
                </c:pt>
              </c:strCache>
            </c:strRef>
          </c:tx>
          <c:spPr>
            <a:ln w="22225" cap="rnd">
              <a:solidFill>
                <a:schemeClr val="accent1"/>
              </a:solidFill>
            </a:ln>
            <a:effectLst>
              <a:glow rad="139700">
                <a:schemeClr val="accent1">
                  <a:satMod val="175000"/>
                  <a:alpha val="14000"/>
                </a:schemeClr>
              </a:glow>
            </a:effectLst>
          </c:spPr>
          <c:marker>
            <c:symbol val="none"/>
          </c:marker>
          <c:cat>
            <c:numRef>
              <c:f>'monthaly analysis'!$A$2:$A$14</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'monthaly analysis'!$B$2:$B$14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5CDA-48E1-A058-42D59F174F19}"/>
            </c:ext>
          </c:extLst>
        </c:ser>
        <c:dLbls>
          <c:showLegendKey val="0"/>
          <c:showVal val="0"/>
          <c:showCatName val="0"/>
          <c:showSerName val="0"/>
          <c:showPercent val="0"/>
          <c:showBubbleSize val="0"/>
        </c:dLbls>
        <c:smooth val="0"/>
        <c:axId val="1413381391"/>
        <c:axId val="87372687"/>
      </c:lineChart>
      <c:dateAx>
        <c:axId val="1413381391"/>
        <c:scaling>
          <c:orientation val="minMax"/>
        </c:scaling>
        <c:delete val="0"/>
        <c:axPos val="b"/>
        <c:numFmt formatCode="mmm/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72687"/>
        <c:crosses val="autoZero"/>
        <c:auto val="1"/>
        <c:lblOffset val="100"/>
        <c:baseTimeUnit val="months"/>
      </c:dateAx>
      <c:valAx>
        <c:axId val="87372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33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[pr_2.xlsx]bar chart by 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by region'!$B$3</c:f>
              <c:strCache>
                <c:ptCount val="1"/>
                <c:pt idx="0">
                  <c:v>Total</c:v>
                </c:pt>
              </c:strCache>
            </c:strRef>
          </c:tx>
          <c:spPr>
            <a:solidFill>
              <a:schemeClr val="accent1"/>
            </a:solidFill>
            <a:ln>
              <a:noFill/>
            </a:ln>
            <a:effectLst/>
          </c:spPr>
          <c:invertIfNegative val="0"/>
          <c:cat>
            <c:strRef>
              <c:f>'bar chart by region'!$A$4:$A$9</c:f>
              <c:strCache>
                <c:ptCount val="5"/>
                <c:pt idx="0">
                  <c:v>Central</c:v>
                </c:pt>
                <c:pt idx="1">
                  <c:v>East</c:v>
                </c:pt>
                <c:pt idx="2">
                  <c:v>North</c:v>
                </c:pt>
                <c:pt idx="3">
                  <c:v>South</c:v>
                </c:pt>
                <c:pt idx="4">
                  <c:v>West</c:v>
                </c:pt>
              </c:strCache>
            </c:strRef>
          </c:cat>
          <c:val>
            <c:numRef>
              <c:f>'bar chart by region'!$B$4:$B$9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9A69-4E89-A748-1F7320BCE934}"/>
            </c:ext>
          </c:extLst>
        </c:ser>
        <c:dLbls>
          <c:showLegendKey val="0"/>
          <c:showVal val="0"/>
          <c:showCatName val="0"/>
          <c:showSerName val="0"/>
          <c:showPercent val="0"/>
          <c:showBubbleSize val="0"/>
        </c:dLbls>
        <c:gapWidth val="219"/>
        <c:overlap val="-27"/>
        <c:axId val="1362514927"/>
        <c:axId val="1021444303"/>
      </c:barChart>
      <c:catAx>
        <c:axId val="13625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44303"/>
        <c:crosses val="autoZero"/>
        <c:auto val="1"/>
        <c:lblAlgn val="ctr"/>
        <c:lblOffset val="100"/>
        <c:noMultiLvlLbl val="0"/>
      </c:catAx>
      <c:valAx>
        <c:axId val="10214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[pr_2.xlsx]pie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distribution by product category</a:t>
            </a:r>
          </a:p>
        </c:rich>
      </c:tx>
      <c:layout>
        <c:manualLayout>
          <c:xMode val="edge"/>
          <c:yMode val="edge"/>
          <c:x val="0.27741504573448744"/>
          <c:y val="0.12217682056856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81A-41A6-BA77-0FFB2A6D02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AE-4E8D-9DAB-8C8B6A899F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AE-4E8D-9DAB-8C8B6A899F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AE-4E8D-9DAB-8C8B6A899F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AE-4E8D-9DAB-8C8B6A899F6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chart'!$A$4:$A$9</c:f>
              <c:strCache>
                <c:ptCount val="5"/>
                <c:pt idx="0">
                  <c:v>Books</c:v>
                </c:pt>
                <c:pt idx="1">
                  <c:v>Clothing</c:v>
                </c:pt>
                <c:pt idx="2">
                  <c:v>Electronics</c:v>
                </c:pt>
                <c:pt idx="3">
                  <c:v>Furniture</c:v>
                </c:pt>
                <c:pt idx="4">
                  <c:v>Office Supplies</c:v>
                </c:pt>
              </c:strCache>
            </c:strRef>
          </c:cat>
          <c:val>
            <c:numRef>
              <c:f>'pie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481A-41A6-BA77-0FFB2A6D027A}"/>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'monthaly analysis'!$B$1</c:f>
              <c:strCache>
                <c:ptCount val="1"/>
                <c:pt idx="0">
                  <c:v>total_sale</c:v>
                </c:pt>
              </c:strCache>
            </c:strRef>
          </c:tx>
          <c:spPr>
            <a:ln w="22225" cap="rnd">
              <a:solidFill>
                <a:schemeClr val="accent1"/>
              </a:solidFill>
            </a:ln>
            <a:effectLst>
              <a:glow rad="139700">
                <a:schemeClr val="accent1">
                  <a:satMod val="175000"/>
                  <a:alpha val="14000"/>
                </a:schemeClr>
              </a:glow>
            </a:effectLst>
          </c:spPr>
          <c:marker>
            <c:symbol val="none"/>
          </c:marker>
          <c:cat>
            <c:numRef>
              <c:f>'monthaly analysis'!$A$2:$A$14</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'monthaly analysis'!$B$2:$B$14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EDE8-4CB0-B5EB-21E51354C4EA}"/>
            </c:ext>
          </c:extLst>
        </c:ser>
        <c:dLbls>
          <c:showLegendKey val="0"/>
          <c:showVal val="0"/>
          <c:showCatName val="0"/>
          <c:showSerName val="0"/>
          <c:showPercent val="0"/>
          <c:showBubbleSize val="0"/>
        </c:dLbls>
        <c:smooth val="0"/>
        <c:axId val="1413381391"/>
        <c:axId val="87372687"/>
      </c:lineChart>
      <c:dateAx>
        <c:axId val="1413381391"/>
        <c:scaling>
          <c:orientation val="minMax"/>
        </c:scaling>
        <c:delete val="0"/>
        <c:axPos val="b"/>
        <c:numFmt formatCode="mmm/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72687"/>
        <c:crosses val="autoZero"/>
        <c:auto val="1"/>
        <c:lblOffset val="100"/>
        <c:baseTimeUnit val="months"/>
      </c:dateAx>
      <c:valAx>
        <c:axId val="87372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338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[pr_2.xlsx]pie chart!PivotTable3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distribution by product category</a:t>
            </a:r>
          </a:p>
        </c:rich>
      </c:tx>
      <c:layout>
        <c:manualLayout>
          <c:xMode val="edge"/>
          <c:yMode val="edge"/>
          <c:x val="0.27741504573448744"/>
          <c:y val="0.12217682056856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C3-47CF-9307-EC9E6CD2A1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C3-47CF-9307-EC9E6CD2A1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C3-47CF-9307-EC9E6CD2A1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C3-47CF-9307-EC9E6CD2A1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C3-47CF-9307-EC9E6CD2A1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chart'!$A$4:$A$9</c:f>
              <c:strCache>
                <c:ptCount val="5"/>
                <c:pt idx="0">
                  <c:v>Books</c:v>
                </c:pt>
                <c:pt idx="1">
                  <c:v>Clothing</c:v>
                </c:pt>
                <c:pt idx="2">
                  <c:v>Electronics</c:v>
                </c:pt>
                <c:pt idx="3">
                  <c:v>Furniture</c:v>
                </c:pt>
                <c:pt idx="4">
                  <c:v>Office Supplies</c:v>
                </c:pt>
              </c:strCache>
            </c:strRef>
          </c:cat>
          <c:val>
            <c:numRef>
              <c:f>'pie chart'!$B$4:$B$9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FBC3-47CF-9307-EC9E6CD2A18B}"/>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[pr_2.xlsx]bar chart by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by region'!$B$3</c:f>
              <c:strCache>
                <c:ptCount val="1"/>
                <c:pt idx="0">
                  <c:v>Total</c:v>
                </c:pt>
              </c:strCache>
            </c:strRef>
          </c:tx>
          <c:spPr>
            <a:solidFill>
              <a:schemeClr val="accent1"/>
            </a:solidFill>
            <a:ln>
              <a:noFill/>
            </a:ln>
            <a:effectLst/>
          </c:spPr>
          <c:invertIfNegative val="0"/>
          <c:cat>
            <c:strRef>
              <c:f>'bar chart by region'!$A$4:$A$9</c:f>
              <c:strCache>
                <c:ptCount val="5"/>
                <c:pt idx="0">
                  <c:v>Central</c:v>
                </c:pt>
                <c:pt idx="1">
                  <c:v>East</c:v>
                </c:pt>
                <c:pt idx="2">
                  <c:v>North</c:v>
                </c:pt>
                <c:pt idx="3">
                  <c:v>South</c:v>
                </c:pt>
                <c:pt idx="4">
                  <c:v>West</c:v>
                </c:pt>
              </c:strCache>
            </c:strRef>
          </c:cat>
          <c:val>
            <c:numRef>
              <c:f>'bar chart by region'!$B$4:$B$9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FECC-40E4-80D3-50264DDB4164}"/>
            </c:ext>
          </c:extLst>
        </c:ser>
        <c:dLbls>
          <c:showLegendKey val="0"/>
          <c:showVal val="0"/>
          <c:showCatName val="0"/>
          <c:showSerName val="0"/>
          <c:showPercent val="0"/>
          <c:showBubbleSize val="0"/>
        </c:dLbls>
        <c:gapWidth val="219"/>
        <c:overlap val="-27"/>
        <c:axId val="1362514927"/>
        <c:axId val="1021444303"/>
      </c:barChart>
      <c:catAx>
        <c:axId val="13625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44303"/>
        <c:crosses val="autoZero"/>
        <c:auto val="1"/>
        <c:lblAlgn val="ctr"/>
        <c:lblOffset val="100"/>
        <c:noMultiLvlLbl val="0"/>
      </c:catAx>
      <c:valAx>
        <c:axId val="10214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349250</xdr:colOff>
      <xdr:row>3</xdr:row>
      <xdr:rowOff>44450</xdr:rowOff>
    </xdr:from>
    <xdr:to>
      <xdr:col>8</xdr:col>
      <xdr:colOff>349250</xdr:colOff>
      <xdr:row>16</xdr:row>
      <xdr:rowOff>174625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1A288FD-FC75-9772-220A-1ABDDA7A8F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97250" y="596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53975</xdr:colOff>
      <xdr:row>0</xdr:row>
      <xdr:rowOff>6350</xdr:rowOff>
    </xdr:from>
    <xdr:to>
      <xdr:col>9</xdr:col>
      <xdr:colOff>358775</xdr:colOff>
      <xdr:row>18</xdr:row>
      <xdr:rowOff>69695</xdr:rowOff>
    </xdr:to>
    <xdr:graphicFrame macro="">
      <xdr:nvGraphicFramePr>
        <xdr:cNvPr id="2" name="Chart 1">
          <a:extLst>
            <a:ext uri="{FF2B5EF4-FFF2-40B4-BE49-F238E27FC236}">
              <a16:creationId xmlns:a16="http://schemas.microsoft.com/office/drawing/2014/main" id="{C8196BB6-9384-E8BE-8C99-15F62C1D9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xdr:colOff>
      <xdr:row>0</xdr:row>
      <xdr:rowOff>31750</xdr:rowOff>
    </xdr:from>
    <xdr:to>
      <xdr:col>12</xdr:col>
      <xdr:colOff>371475</xdr:colOff>
      <xdr:row>15</xdr:row>
      <xdr:rowOff>12700</xdr:rowOff>
    </xdr:to>
    <xdr:graphicFrame macro="">
      <xdr:nvGraphicFramePr>
        <xdr:cNvPr id="3" name="Chart 2">
          <a:extLst>
            <a:ext uri="{FF2B5EF4-FFF2-40B4-BE49-F238E27FC236}">
              <a16:creationId xmlns:a16="http://schemas.microsoft.com/office/drawing/2014/main" id="{5A558749-4D10-960B-8A96-9783A4E37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552450</xdr:colOff>
      <xdr:row>0</xdr:row>
      <xdr:rowOff>152400</xdr:rowOff>
    </xdr:from>
    <xdr:to>
      <xdr:col>10</xdr:col>
      <xdr:colOff>247650</xdr:colOff>
      <xdr:row>15</xdr:row>
      <xdr:rowOff>133350</xdr:rowOff>
    </xdr:to>
    <xdr:graphicFrame macro="">
      <xdr:nvGraphicFramePr>
        <xdr:cNvPr id="2" name="Chart 1">
          <a:extLst>
            <a:ext uri="{FF2B5EF4-FFF2-40B4-BE49-F238E27FC236}">
              <a16:creationId xmlns:a16="http://schemas.microsoft.com/office/drawing/2014/main" id="{6CED9850-F416-E837-1B70-48B55321A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396203</xdr:colOff>
      <xdr:row>2</xdr:row>
      <xdr:rowOff>89435</xdr:rowOff>
    </xdr:from>
    <xdr:to>
      <xdr:col>18</xdr:col>
      <xdr:colOff>92835</xdr:colOff>
      <xdr:row>16</xdr:row>
      <xdr:rowOff>35774</xdr:rowOff>
    </xdr:to>
    <xdr:graphicFrame macro="">
      <xdr:nvGraphicFramePr>
        <xdr:cNvPr id="2" name="Chart 1">
          <a:extLst>
            <a:ext uri="{FF2B5EF4-FFF2-40B4-BE49-F238E27FC236}">
              <a16:creationId xmlns:a16="http://schemas.microsoft.com/office/drawing/2014/main" id="{35C974EE-2D64-7D20-47C5-88043D396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194733</xdr:colOff>
      <xdr:row>8</xdr:row>
      <xdr:rowOff>12699</xdr:rowOff>
    </xdr:from>
    <xdr:to>
      <xdr:col>14</xdr:col>
      <xdr:colOff>536222</xdr:colOff>
      <xdr:row>31</xdr:row>
      <xdr:rowOff>14111</xdr:rowOff>
    </xdr:to>
    <xdr:graphicFrame macro="">
      <xdr:nvGraphicFramePr>
        <xdr:cNvPr id="2" name="Chart 1">
          <a:extLst>
            <a:ext uri="{FF2B5EF4-FFF2-40B4-BE49-F238E27FC236}">
              <a16:creationId xmlns:a16="http://schemas.microsoft.com/office/drawing/2014/main" id="{CAB20D8C-AA90-4E38-B95B-551D9C2F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273244</xdr:colOff>
      <xdr:row>32</xdr:row>
      <xdr:rowOff>127640</xdr:rowOff>
    </xdr:from>
    <xdr:to>
      <xdr:col>22</xdr:col>
      <xdr:colOff>19884</xdr:colOff>
      <xdr:row>64</xdr:row>
      <xdr:rowOff>113531</xdr:rowOff>
    </xdr:to>
    <xdr:graphicFrame macro="">
      <xdr:nvGraphicFramePr>
        <xdr:cNvPr id="3" name="Chart 2">
          <a:extLst>
            <a:ext uri="{FF2B5EF4-FFF2-40B4-BE49-F238E27FC236}">
              <a16:creationId xmlns:a16="http://schemas.microsoft.com/office/drawing/2014/main" id="{660124EF-CFDC-4414-A740-61242660F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239887</xdr:colOff>
      <xdr:row>8</xdr:row>
      <xdr:rowOff>28219</xdr:rowOff>
    </xdr:from>
    <xdr:to>
      <xdr:col>29</xdr:col>
      <xdr:colOff>-1</xdr:colOff>
      <xdr:row>31</xdr:row>
      <xdr:rowOff>28222</xdr:rowOff>
    </xdr:to>
    <xdr:graphicFrame macro="">
      <xdr:nvGraphicFramePr>
        <xdr:cNvPr id="4" name="Chart 3">
          <a:extLst>
            <a:ext uri="{FF2B5EF4-FFF2-40B4-BE49-F238E27FC236}">
              <a16:creationId xmlns:a16="http://schemas.microsoft.com/office/drawing/2014/main" id="{590AE04B-3341-4711-9F93-E2961BD73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317499</xdr:colOff>
      <xdr:row>8</xdr:row>
      <xdr:rowOff>56028</xdr:rowOff>
    </xdr:from>
    <xdr:to>
      <xdr:col>35</xdr:col>
      <xdr:colOff>541617</xdr:colOff>
      <xdr:row>31</xdr:row>
      <xdr:rowOff>37353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75201FB-E3D0-8491-BB32-ACA4AE8B75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396363" y="1441483"/>
              <a:ext cx="3860936" cy="4541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435199</xdr:colOff>
      <xdr:row>33</xdr:row>
      <xdr:rowOff>149320</xdr:rowOff>
    </xdr:from>
    <xdr:to>
      <xdr:col>32</xdr:col>
      <xdr:colOff>105267</xdr:colOff>
      <xdr:row>64</xdr:row>
      <xdr:rowOff>143677</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50BA7D90-96FD-C304-74AF-9170343E4D8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5271108" y="6441593"/>
              <a:ext cx="5731432" cy="5362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Pranami" refreshedDate="46318.570368749999" createdVersion="8" refreshedVersion="8" minRefreshableVersion="3" recordCount="200" xr:uid="{0612A9EF-F001-428D-84D1-D1AEDE2944F2}">
  <cacheSource type="worksheet">
    <worksheetSource name="sales_table"/>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analysis_timestamp" numFmtId="166">
      <sharedItems containsSemiMixedTypes="0" containsNonDate="0" containsDate="1" containsString="0" minDate="2026-10-23T13:39:42" maxDate="2026-10-23T13:39:42"/>
    </cacheField>
  </cacheFields>
  <extLst>
    <ext xmlns:x14="http://schemas.microsoft.com/office/spreadsheetml/2009/9/main" uri="{725AE2AE-9491-48be-B2B4-4EB974FC3084}">
      <x14:pivotCacheDefinition pivotCacheId="1373006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d v="2026-10-23T13:39:42"/>
  </r>
  <r>
    <s v="CUST012"/>
    <s v="Robert Anderson"/>
    <x v="0"/>
    <x v="1"/>
    <n v="1101.28"/>
    <n v="3"/>
    <n v="0.2"/>
    <d v="2024-04-11T00:00:00"/>
    <n v="440.51"/>
    <d v="2026-10-23T13:39:42"/>
  </r>
  <r>
    <s v="CUST017"/>
    <s v="James Taylor"/>
    <x v="1"/>
    <x v="0"/>
    <n v="713.34"/>
    <n v="17"/>
    <n v="0"/>
    <d v="2024-04-14T00:00:00"/>
    <n v="285.33999999999997"/>
    <d v="2026-10-23T13:39:42"/>
  </r>
  <r>
    <s v="CUST005"/>
    <s v="Robert Anderson"/>
    <x v="2"/>
    <x v="2"/>
    <n v="760.93"/>
    <n v="4"/>
    <n v="0.15"/>
    <d v="2024-04-14T00:00:00"/>
    <n v="161.69999999999999"/>
    <d v="2026-10-23T13:39:42"/>
  </r>
  <r>
    <s v="CUST030"/>
    <s v="James Wilson"/>
    <x v="3"/>
    <x v="0"/>
    <n v="847"/>
    <n v="12"/>
    <n v="0.2"/>
    <d v="2024-04-15T00:00:00"/>
    <n v="271.04000000000002"/>
    <d v="2026-10-23T13:39:42"/>
  </r>
  <r>
    <s v="CUST007"/>
    <s v="Michael Anderson"/>
    <x v="3"/>
    <x v="3"/>
    <n v="965.64"/>
    <n v="8"/>
    <n v="0.1"/>
    <d v="2024-04-16T00:00:00"/>
    <n v="304.18"/>
    <d v="2026-10-23T13:39:42"/>
  </r>
  <r>
    <s v="CUST001"/>
    <s v="Linda Wilson"/>
    <x v="0"/>
    <x v="2"/>
    <n v="1317.53"/>
    <n v="12"/>
    <n v="0.05"/>
    <d v="2024-04-16T00:00:00"/>
    <n v="312.91000000000003"/>
    <d v="2026-10-23T13:39:42"/>
  </r>
  <r>
    <s v="CUST026"/>
    <s v="Mary Davis"/>
    <x v="1"/>
    <x v="3"/>
    <n v="1074.47"/>
    <n v="6"/>
    <n v="0.2"/>
    <d v="2024-04-19T00:00:00"/>
    <n v="300.85000000000002"/>
    <d v="2026-10-23T13:39:42"/>
  </r>
  <r>
    <s v="CUST009"/>
    <s v="Linda Jackson"/>
    <x v="4"/>
    <x v="0"/>
    <n v="501.54"/>
    <n v="11"/>
    <n v="0.05"/>
    <d v="2024-04-19T00:00:00"/>
    <n v="190.59"/>
    <d v="2026-10-23T13:39:42"/>
  </r>
  <r>
    <s v="CUST010"/>
    <s v="David Thomas"/>
    <x v="4"/>
    <x v="1"/>
    <n v="737.31"/>
    <n v="2"/>
    <n v="0.05"/>
    <d v="2024-04-19T00:00:00"/>
    <n v="350.22"/>
    <d v="2026-10-23T13:39:42"/>
  </r>
  <r>
    <s v="CUST014"/>
    <s v="Emma Davis"/>
    <x v="0"/>
    <x v="4"/>
    <n v="1572.82"/>
    <n v="6"/>
    <n v="0.05"/>
    <d v="2024-04-20T00:00:00"/>
    <n v="672.38"/>
    <d v="2026-10-23T13:39:42"/>
  </r>
  <r>
    <s v="CUST014"/>
    <s v="David Thomas"/>
    <x v="4"/>
    <x v="0"/>
    <n v="1343.13"/>
    <n v="14"/>
    <n v="0.15"/>
    <d v="2024-04-22T00:00:00"/>
    <n v="456.66"/>
    <d v="2026-10-23T13:39:42"/>
  </r>
  <r>
    <s v="CUST007"/>
    <s v="Michael Anderson"/>
    <x v="4"/>
    <x v="0"/>
    <n v="1191.58"/>
    <n v="14"/>
    <n v="0.05"/>
    <d v="2024-04-24T00:00:00"/>
    <n v="452.8"/>
    <d v="2026-10-23T13:39:42"/>
  </r>
  <r>
    <s v="CUST023"/>
    <s v="Robert Anderson"/>
    <x v="0"/>
    <x v="3"/>
    <n v="822.28"/>
    <n v="7"/>
    <n v="0.05"/>
    <d v="2024-04-24T00:00:00"/>
    <n v="273.41000000000003"/>
    <d v="2026-10-23T13:39:42"/>
  </r>
  <r>
    <s v="CUST029"/>
    <s v="David Smith"/>
    <x v="3"/>
    <x v="3"/>
    <n v="521.66999999999996"/>
    <n v="15"/>
    <n v="0.15"/>
    <d v="2024-04-27T00:00:00"/>
    <n v="155.19999999999999"/>
    <d v="2026-10-23T13:39:42"/>
  </r>
  <r>
    <s v="CUST005"/>
    <s v="Sarah Anderson"/>
    <x v="2"/>
    <x v="2"/>
    <n v="1502.93"/>
    <n v="14"/>
    <n v="0.2"/>
    <d v="2024-04-28T00:00:00"/>
    <n v="300.58999999999997"/>
    <d v="2026-10-23T13:39:42"/>
  </r>
  <r>
    <s v="CUST008"/>
    <s v="Robert Anderson"/>
    <x v="2"/>
    <x v="0"/>
    <n v="877.58"/>
    <n v="10"/>
    <n v="0.15"/>
    <d v="2024-04-29T00:00:00"/>
    <n v="298.38"/>
    <d v="2026-10-23T13:39:42"/>
  </r>
  <r>
    <s v="CUST001"/>
    <s v="Lisa Thomas"/>
    <x v="0"/>
    <x v="0"/>
    <n v="636.70000000000005"/>
    <n v="4"/>
    <n v="0.2"/>
    <d v="2024-04-29T00:00:00"/>
    <n v="203.74"/>
    <d v="2026-10-23T13:39:42"/>
  </r>
  <r>
    <s v="CUST006"/>
    <s v="Mary Jackson"/>
    <x v="0"/>
    <x v="0"/>
    <n v="1506.14"/>
    <n v="13"/>
    <n v="0.2"/>
    <d v="2024-04-30T00:00:00"/>
    <n v="481.96"/>
    <d v="2026-10-23T13:39:42"/>
  </r>
  <r>
    <s v="CUST026"/>
    <s v="Mary Davis"/>
    <x v="4"/>
    <x v="2"/>
    <n v="645.02"/>
    <n v="4"/>
    <n v="0"/>
    <d v="2024-05-02T00:00:00"/>
    <n v="161.26"/>
    <d v="2026-10-23T13:39:42"/>
  </r>
  <r>
    <s v="CUST007"/>
    <s v="Lisa Davis"/>
    <x v="2"/>
    <x v="1"/>
    <n v="953.3"/>
    <n v="11"/>
    <n v="0"/>
    <d v="2024-05-03T00:00:00"/>
    <n v="476.65"/>
    <d v="2026-10-23T13:39:42"/>
  </r>
  <r>
    <s v="CUST022"/>
    <s v="Robert Anderson"/>
    <x v="3"/>
    <x v="2"/>
    <n v="388.56"/>
    <n v="14"/>
    <n v="0.15"/>
    <d v="2024-05-04T00:00:00"/>
    <n v="82.57"/>
    <d v="2026-10-23T13:39:42"/>
  </r>
  <r>
    <s v="CUST019"/>
    <s v="Mary Davis"/>
    <x v="0"/>
    <x v="0"/>
    <n v="743.17"/>
    <n v="9"/>
    <n v="0"/>
    <d v="2024-05-04T00:00:00"/>
    <n v="297.27"/>
    <d v="2026-10-23T13:39:42"/>
  </r>
  <r>
    <s v="CUST023"/>
    <s v="Mary Davis"/>
    <x v="4"/>
    <x v="2"/>
    <n v="706.37"/>
    <n v="6"/>
    <n v="0"/>
    <d v="2024-05-04T00:00:00"/>
    <n v="176.59"/>
    <d v="2026-10-23T13:39:42"/>
  </r>
  <r>
    <s v="CUST012"/>
    <s v="Mary Davis"/>
    <x v="4"/>
    <x v="4"/>
    <n v="925.31"/>
    <n v="8"/>
    <n v="0.1"/>
    <d v="2024-05-06T00:00:00"/>
    <n v="374.75"/>
    <d v="2026-10-23T13:39:42"/>
  </r>
  <r>
    <s v="CUST010"/>
    <s v="Linda Brown"/>
    <x v="2"/>
    <x v="2"/>
    <n v="1173.1199999999999"/>
    <n v="18"/>
    <n v="0"/>
    <d v="2024-05-06T00:00:00"/>
    <n v="293.27999999999997"/>
    <d v="2026-10-23T13:39:42"/>
  </r>
  <r>
    <s v="CUST030"/>
    <s v="John Brown"/>
    <x v="3"/>
    <x v="3"/>
    <n v="675.54"/>
    <n v="17"/>
    <n v="0"/>
    <d v="2024-05-08T00:00:00"/>
    <n v="236.44"/>
    <d v="2026-10-23T13:39:42"/>
  </r>
  <r>
    <s v="CUST007"/>
    <s v="Robert Anderson"/>
    <x v="4"/>
    <x v="0"/>
    <n v="939.09"/>
    <n v="2"/>
    <n v="0.05"/>
    <d v="2024-05-10T00:00:00"/>
    <n v="356.85"/>
    <d v="2026-10-23T13:39:42"/>
  </r>
  <r>
    <s v="CUST028"/>
    <s v="Linda Taylor"/>
    <x v="1"/>
    <x v="4"/>
    <n v="983.34"/>
    <n v="19"/>
    <n v="0.1"/>
    <d v="2024-05-14T00:00:00"/>
    <n v="398.25"/>
    <d v="2026-10-23T13:39:42"/>
  </r>
  <r>
    <s v="CUST028"/>
    <s v="James Wilson"/>
    <x v="2"/>
    <x v="2"/>
    <n v="801.21"/>
    <n v="3"/>
    <n v="0.2"/>
    <d v="2024-05-14T00:00:00"/>
    <n v="160.24"/>
    <d v="2026-10-23T13:39:42"/>
  </r>
  <r>
    <s v="CUST025"/>
    <s v="David Brown"/>
    <x v="3"/>
    <x v="2"/>
    <n v="1450.71"/>
    <n v="5"/>
    <n v="0.1"/>
    <d v="2024-05-15T00:00:00"/>
    <n v="326.41000000000003"/>
    <d v="2026-10-23T13:39:42"/>
  </r>
  <r>
    <s v="CUST022"/>
    <s v="David Davis"/>
    <x v="4"/>
    <x v="0"/>
    <n v="1023.21"/>
    <n v="18"/>
    <n v="0.05"/>
    <d v="2024-05-16T00:00:00"/>
    <n v="388.82"/>
    <d v="2026-10-23T13:39:42"/>
  </r>
  <r>
    <s v="CUST001"/>
    <s v="Mary Jackson"/>
    <x v="0"/>
    <x v="3"/>
    <n v="853.72"/>
    <n v="5"/>
    <n v="0.15"/>
    <d v="2024-05-16T00:00:00"/>
    <n v="253.98"/>
    <d v="2026-10-23T13:39:42"/>
  </r>
  <r>
    <s v="CUST021"/>
    <s v="Sarah Anderson"/>
    <x v="2"/>
    <x v="2"/>
    <n v="967.89"/>
    <n v="10"/>
    <n v="0.1"/>
    <d v="2024-05-17T00:00:00"/>
    <n v="217.78"/>
    <d v="2026-10-23T13:39:42"/>
  </r>
  <r>
    <s v="CUST015"/>
    <s v="Linda Taylor"/>
    <x v="3"/>
    <x v="4"/>
    <n v="1200.9000000000001"/>
    <n v="14"/>
    <n v="0.05"/>
    <d v="2024-05-17T00:00:00"/>
    <n v="513.38"/>
    <d v="2026-10-23T13:39:42"/>
  </r>
  <r>
    <s v="CUST012"/>
    <s v="Michael Anderson"/>
    <x v="0"/>
    <x v="0"/>
    <n v="472.38"/>
    <n v="12"/>
    <n v="0.2"/>
    <d v="2024-05-17T00:00:00"/>
    <n v="151.16"/>
    <d v="2026-10-23T13:39:42"/>
  </r>
  <r>
    <s v="CUST019"/>
    <s v="David Brown"/>
    <x v="1"/>
    <x v="4"/>
    <n v="840.92"/>
    <n v="9"/>
    <n v="0.05"/>
    <d v="2024-05-17T00:00:00"/>
    <n v="359.49"/>
    <d v="2026-10-23T13:39:42"/>
  </r>
  <r>
    <s v="CUST028"/>
    <s v="Lisa Davis"/>
    <x v="4"/>
    <x v="3"/>
    <n v="1410.06"/>
    <n v="11"/>
    <n v="0.05"/>
    <d v="2024-05-22T00:00:00"/>
    <n v="468.84"/>
    <d v="2026-10-23T13:39:42"/>
  </r>
  <r>
    <s v="CUST008"/>
    <s v="Mary Wilson"/>
    <x v="4"/>
    <x v="3"/>
    <n v="773.09"/>
    <n v="13"/>
    <n v="0.15"/>
    <d v="2024-05-22T00:00:00"/>
    <n v="229.99"/>
    <d v="2026-10-23T13:39:42"/>
  </r>
  <r>
    <s v="CUST016"/>
    <s v="Emma Wilson"/>
    <x v="1"/>
    <x v="0"/>
    <n v="580.42999999999995"/>
    <n v="19"/>
    <n v="0.15"/>
    <d v="2024-05-23T00:00:00"/>
    <n v="197.35"/>
    <d v="2026-10-23T13:39:42"/>
  </r>
  <r>
    <s v="CUST005"/>
    <s v="David Smith"/>
    <x v="2"/>
    <x v="0"/>
    <n v="1151.21"/>
    <n v="15"/>
    <n v="0.1"/>
    <d v="2024-06-02T00:00:00"/>
    <n v="414.44"/>
    <d v="2026-10-23T13:39:42"/>
  </r>
  <r>
    <s v="CUST028"/>
    <s v="James Wilson"/>
    <x v="4"/>
    <x v="4"/>
    <n v="1025.98"/>
    <n v="5"/>
    <n v="0.2"/>
    <d v="2024-06-04T00:00:00"/>
    <n v="369.35"/>
    <d v="2026-10-23T13:39:42"/>
  </r>
  <r>
    <s v="CUST023"/>
    <s v="David Davis"/>
    <x v="1"/>
    <x v="4"/>
    <n v="556.41999999999996"/>
    <n v="11"/>
    <n v="0.15"/>
    <d v="2024-06-04T00:00:00"/>
    <n v="212.83"/>
    <d v="2026-10-23T13:39:42"/>
  </r>
  <r>
    <s v="CUST021"/>
    <s v="James Wilson"/>
    <x v="4"/>
    <x v="0"/>
    <n v="840.85"/>
    <n v="19"/>
    <n v="0.1"/>
    <d v="2024-06-05T00:00:00"/>
    <n v="302.70999999999998"/>
    <d v="2026-10-23T13:39:42"/>
  </r>
  <r>
    <s v="CUST026"/>
    <s v="Emma Wilson"/>
    <x v="3"/>
    <x v="3"/>
    <n v="1227.25"/>
    <n v="12"/>
    <n v="0.15"/>
    <d v="2024-06-05T00:00:00"/>
    <n v="365.11"/>
    <d v="2026-10-23T13:39:42"/>
  </r>
  <r>
    <s v="CUST017"/>
    <s v="Linda Davis"/>
    <x v="4"/>
    <x v="2"/>
    <n v="856.7"/>
    <n v="2"/>
    <n v="0"/>
    <d v="2024-06-06T00:00:00"/>
    <n v="214.18"/>
    <d v="2026-10-23T13:39:42"/>
  </r>
  <r>
    <s v="CUST025"/>
    <s v="David Davis"/>
    <x v="4"/>
    <x v="4"/>
    <n v="1225.42"/>
    <n v="8"/>
    <n v="0.15"/>
    <d v="2024-06-06T00:00:00"/>
    <n v="468.72"/>
    <d v="2026-10-23T13:39:42"/>
  </r>
  <r>
    <s v="CUST011"/>
    <s v="Mary Davis"/>
    <x v="3"/>
    <x v="4"/>
    <n v="1001.57"/>
    <n v="12"/>
    <n v="0"/>
    <d v="2024-06-07T00:00:00"/>
    <n v="450.71"/>
    <d v="2026-10-23T13:39:42"/>
  </r>
  <r>
    <s v="CUST021"/>
    <s v="Michael Anderson"/>
    <x v="1"/>
    <x v="3"/>
    <n v="1186.8499999999999"/>
    <n v="19"/>
    <n v="0.2"/>
    <d v="2024-06-08T00:00:00"/>
    <n v="332.32"/>
    <d v="2026-10-23T13:39:42"/>
  </r>
  <r>
    <s v="CUST008"/>
    <s v="John Brown"/>
    <x v="2"/>
    <x v="2"/>
    <n v="775.45"/>
    <n v="6"/>
    <n v="0.1"/>
    <d v="2024-06-14T00:00:00"/>
    <n v="174.48"/>
    <d v="2026-10-23T13:39:42"/>
  </r>
  <r>
    <s v="CUST007"/>
    <s v="Linda Jackson"/>
    <x v="2"/>
    <x v="2"/>
    <n v="1021.47"/>
    <n v="6"/>
    <n v="0.05"/>
    <d v="2024-06-18T00:00:00"/>
    <n v="242.6"/>
    <d v="2026-10-23T13:39:42"/>
  </r>
  <r>
    <s v="CUST015"/>
    <s v="James Wilson"/>
    <x v="2"/>
    <x v="1"/>
    <n v="1226.6199999999999"/>
    <n v="7"/>
    <n v="0.1"/>
    <d v="2024-06-20T00:00:00"/>
    <n v="551.98"/>
    <d v="2026-10-23T13:39:42"/>
  </r>
  <r>
    <s v="CUST030"/>
    <s v="Sarah Davis"/>
    <x v="2"/>
    <x v="3"/>
    <n v="1086.93"/>
    <n v="2"/>
    <n v="0"/>
    <d v="2024-06-21T00:00:00"/>
    <n v="380.43"/>
    <d v="2026-10-23T13:39:42"/>
  </r>
  <r>
    <s v="CUST002"/>
    <s v="Lisa Davis"/>
    <x v="0"/>
    <x v="0"/>
    <n v="942.9"/>
    <n v="18"/>
    <n v="0.1"/>
    <d v="2024-06-23T00:00:00"/>
    <n v="339.44"/>
    <d v="2026-10-23T13:39:42"/>
  </r>
  <r>
    <s v="CUST009"/>
    <s v="Emma Davis"/>
    <x v="3"/>
    <x v="2"/>
    <n v="818.8"/>
    <n v="15"/>
    <n v="0.15"/>
    <d v="2024-06-25T00:00:00"/>
    <n v="173.99"/>
    <d v="2026-10-23T13:39:42"/>
  </r>
  <r>
    <s v="CUST005"/>
    <s v="Robert Anderson"/>
    <x v="2"/>
    <x v="3"/>
    <n v="919.04"/>
    <n v="10"/>
    <n v="0.2"/>
    <d v="2024-06-25T00:00:00"/>
    <n v="257.33"/>
    <d v="2026-10-23T13:39:42"/>
  </r>
  <r>
    <s v="CUST030"/>
    <s v="Emma Taylor"/>
    <x v="4"/>
    <x v="0"/>
    <n v="973.26"/>
    <n v="11"/>
    <n v="0"/>
    <d v="2024-06-27T00:00:00"/>
    <n v="389.3"/>
    <d v="2026-10-23T13:39:42"/>
  </r>
  <r>
    <s v="CUST029"/>
    <s v="Sarah Davis"/>
    <x v="3"/>
    <x v="2"/>
    <n v="741.61"/>
    <n v="1"/>
    <n v="0.2"/>
    <d v="2024-06-28T00:00:00"/>
    <n v="148.32"/>
    <d v="2026-10-23T13:39:42"/>
  </r>
  <r>
    <s v="CUST003"/>
    <s v="Emma Davis"/>
    <x v="3"/>
    <x v="0"/>
    <n v="1248.82"/>
    <n v="2"/>
    <n v="0.1"/>
    <d v="2024-06-30T00:00:00"/>
    <n v="449.58"/>
    <d v="2026-10-23T13:39:42"/>
  </r>
  <r>
    <s v="CUST012"/>
    <s v="Mary Wilson"/>
    <x v="0"/>
    <x v="1"/>
    <n v="1360.36"/>
    <n v="17"/>
    <n v="0"/>
    <d v="2024-06-30T00:00:00"/>
    <n v="680.18"/>
    <d v="2026-10-23T13:39:42"/>
  </r>
  <r>
    <s v="CUST021"/>
    <s v="Mary Davis"/>
    <x v="1"/>
    <x v="0"/>
    <n v="1383.3"/>
    <n v="8"/>
    <n v="0.1"/>
    <d v="2024-07-05T00:00:00"/>
    <n v="497.99"/>
    <d v="2026-10-23T13:39:42"/>
  </r>
  <r>
    <s v="CUST010"/>
    <s v="David Brown"/>
    <x v="4"/>
    <x v="4"/>
    <n v="488.99"/>
    <n v="9"/>
    <n v="0"/>
    <d v="2024-07-06T00:00:00"/>
    <n v="220.05"/>
    <d v="2026-10-23T13:39:42"/>
  </r>
  <r>
    <s v="CUST026"/>
    <s v="Mary Davis"/>
    <x v="1"/>
    <x v="3"/>
    <n v="933.71"/>
    <n v="17"/>
    <n v="0.1"/>
    <d v="2024-07-08T00:00:00"/>
    <n v="294.12"/>
    <d v="2026-10-23T13:39:42"/>
  </r>
  <r>
    <s v="CUST003"/>
    <s v="James Davis"/>
    <x v="0"/>
    <x v="2"/>
    <n v="1005.53"/>
    <n v="17"/>
    <n v="0.2"/>
    <d v="2024-07-08T00:00:00"/>
    <n v="201.11"/>
    <d v="2026-10-23T13:39:42"/>
  </r>
  <r>
    <s v="CUST029"/>
    <s v="Emma Wilson"/>
    <x v="2"/>
    <x v="2"/>
    <n v="1100.0999999999999"/>
    <n v="5"/>
    <n v="0.05"/>
    <d v="2024-07-09T00:00:00"/>
    <n v="261.27"/>
    <d v="2026-10-23T13:39:42"/>
  </r>
  <r>
    <s v="CUST003"/>
    <s v="James Wilson"/>
    <x v="3"/>
    <x v="3"/>
    <n v="1034.7"/>
    <n v="15"/>
    <n v="0.15"/>
    <d v="2024-07-14T00:00:00"/>
    <n v="307.82"/>
    <d v="2026-10-23T13:39:42"/>
  </r>
  <r>
    <s v="CUST002"/>
    <s v="Mary Davis"/>
    <x v="2"/>
    <x v="0"/>
    <n v="876.44"/>
    <n v="12"/>
    <n v="0.05"/>
    <d v="2024-07-15T00:00:00"/>
    <n v="333.05"/>
    <d v="2026-10-23T13:39:42"/>
  </r>
  <r>
    <s v="CUST020"/>
    <s v="David Brown"/>
    <x v="0"/>
    <x v="3"/>
    <n v="1371.34"/>
    <n v="5"/>
    <n v="0.05"/>
    <d v="2024-07-15T00:00:00"/>
    <n v="455.97"/>
    <d v="2026-10-23T13:39:42"/>
  </r>
  <r>
    <s v="CUST021"/>
    <s v="Mary Jackson"/>
    <x v="3"/>
    <x v="2"/>
    <n v="1020.26"/>
    <n v="11"/>
    <n v="0.05"/>
    <d v="2024-07-21T00:00:00"/>
    <n v="242.31"/>
    <d v="2026-10-23T13:39:42"/>
  </r>
  <r>
    <s v="CUST008"/>
    <s v="James Davis"/>
    <x v="4"/>
    <x v="4"/>
    <n v="804.81"/>
    <n v="1"/>
    <n v="0.05"/>
    <d v="2024-07-29T00:00:00"/>
    <n v="344.06"/>
    <d v="2026-10-23T13:39:42"/>
  </r>
  <r>
    <s v="CUST030"/>
    <s v="David Brown"/>
    <x v="4"/>
    <x v="2"/>
    <n v="608.66"/>
    <n v="1"/>
    <n v="0.05"/>
    <d v="2024-07-30T00:00:00"/>
    <n v="144.56"/>
    <d v="2026-10-23T13:39:42"/>
  </r>
  <r>
    <s v="CUST020"/>
    <s v="Linda Moore"/>
    <x v="2"/>
    <x v="4"/>
    <n v="981.2"/>
    <n v="19"/>
    <n v="0"/>
    <d v="2024-07-31T00:00:00"/>
    <n v="441.54"/>
    <d v="2026-10-23T13:39:42"/>
  </r>
  <r>
    <s v="CUST024"/>
    <s v="David Brown"/>
    <x v="1"/>
    <x v="2"/>
    <n v="539.77"/>
    <n v="10"/>
    <n v="0.15"/>
    <d v="2024-08-05T00:00:00"/>
    <n v="114.7"/>
    <d v="2026-10-23T13:39:42"/>
  </r>
  <r>
    <s v="CUST012"/>
    <s v="David Anderson"/>
    <x v="2"/>
    <x v="0"/>
    <n v="804.45"/>
    <n v="5"/>
    <n v="0.2"/>
    <d v="2024-08-05T00:00:00"/>
    <n v="257.42"/>
    <d v="2026-10-23T13:39:42"/>
  </r>
  <r>
    <s v="CUST024"/>
    <s v="Emma Davis"/>
    <x v="0"/>
    <x v="2"/>
    <n v="1526.6"/>
    <n v="13"/>
    <n v="0.2"/>
    <d v="2024-08-08T00:00:00"/>
    <n v="305.32"/>
    <d v="2026-10-23T13:39:42"/>
  </r>
  <r>
    <s v="CUST012"/>
    <s v="Linda Wilson"/>
    <x v="0"/>
    <x v="2"/>
    <n v="1215.26"/>
    <n v="5"/>
    <n v="0.15"/>
    <d v="2024-08-09T00:00:00"/>
    <n v="258.24"/>
    <d v="2026-10-23T13:39:42"/>
  </r>
  <r>
    <s v="CUST005"/>
    <s v="Linda Taylor"/>
    <x v="4"/>
    <x v="3"/>
    <n v="1261.3399999999999"/>
    <n v="3"/>
    <n v="0"/>
    <d v="2024-08-15T00:00:00"/>
    <n v="441.47"/>
    <d v="2026-10-23T13:39:42"/>
  </r>
  <r>
    <s v="CUST004"/>
    <s v="Lisa Thomas"/>
    <x v="3"/>
    <x v="3"/>
    <n v="518.07000000000005"/>
    <n v="7"/>
    <n v="0.05"/>
    <d v="2024-08-18T00:00:00"/>
    <n v="172.26"/>
    <d v="2026-10-23T13:39:42"/>
  </r>
  <r>
    <s v="CUST026"/>
    <s v="Linda Wilson"/>
    <x v="0"/>
    <x v="4"/>
    <n v="1111.3399999999999"/>
    <n v="1"/>
    <n v="0"/>
    <d v="2024-08-19T00:00:00"/>
    <n v="500.1"/>
    <d v="2026-10-23T13:39:42"/>
  </r>
  <r>
    <s v="CUST030"/>
    <s v="Mary Davis"/>
    <x v="1"/>
    <x v="1"/>
    <n v="1291.47"/>
    <n v="18"/>
    <n v="0.1"/>
    <d v="2024-08-22T00:00:00"/>
    <n v="581.16"/>
    <d v="2026-10-23T13:39:42"/>
  </r>
  <r>
    <s v="CUST007"/>
    <s v="David Brown"/>
    <x v="3"/>
    <x v="0"/>
    <n v="679.71"/>
    <n v="19"/>
    <n v="0"/>
    <d v="2024-08-30T00:00:00"/>
    <n v="271.88"/>
    <d v="2026-10-23T13:39:42"/>
  </r>
  <r>
    <s v="CUST020"/>
    <s v="Linda Jackson"/>
    <x v="1"/>
    <x v="3"/>
    <n v="1143.69"/>
    <n v="17"/>
    <n v="0"/>
    <d v="2024-08-30T00:00:00"/>
    <n v="400.29"/>
    <d v="2026-10-23T13:39:42"/>
  </r>
  <r>
    <s v="CUST028"/>
    <s v="Linda Brown"/>
    <x v="4"/>
    <x v="2"/>
    <n v="790.08"/>
    <n v="7"/>
    <n v="0.1"/>
    <d v="2024-09-01T00:00:00"/>
    <n v="177.77"/>
    <d v="2026-10-23T13:39:42"/>
  </r>
  <r>
    <s v="CUST005"/>
    <s v="Lisa Davis"/>
    <x v="4"/>
    <x v="0"/>
    <n v="1070.68"/>
    <n v="7"/>
    <n v="0.05"/>
    <d v="2024-09-01T00:00:00"/>
    <n v="406.86"/>
    <d v="2026-10-23T13:39:42"/>
  </r>
  <r>
    <s v="CUST015"/>
    <s v="David Thomas"/>
    <x v="0"/>
    <x v="1"/>
    <n v="1168.8900000000001"/>
    <n v="4"/>
    <n v="0.1"/>
    <d v="2024-09-09T00:00:00"/>
    <n v="526"/>
    <d v="2026-10-23T13:39:42"/>
  </r>
  <r>
    <s v="CUST003"/>
    <s v="James Davis"/>
    <x v="2"/>
    <x v="2"/>
    <n v="1335.87"/>
    <n v="17"/>
    <n v="0"/>
    <d v="2024-09-09T00:00:00"/>
    <n v="333.97"/>
    <d v="2026-10-23T13:39:42"/>
  </r>
  <r>
    <s v="CUST023"/>
    <s v="David Brown"/>
    <x v="1"/>
    <x v="3"/>
    <n v="873.7"/>
    <n v="9"/>
    <n v="0"/>
    <d v="2024-09-11T00:00:00"/>
    <n v="305.8"/>
    <d v="2026-10-23T13:39:42"/>
  </r>
  <r>
    <s v="CUST004"/>
    <s v="Sarah Davis"/>
    <x v="0"/>
    <x v="4"/>
    <n v="1443.98"/>
    <n v="19"/>
    <n v="0"/>
    <d v="2024-09-12T00:00:00"/>
    <n v="649.79"/>
    <d v="2026-10-23T13:39:42"/>
  </r>
  <r>
    <s v="CUST023"/>
    <s v="James Wilson"/>
    <x v="1"/>
    <x v="4"/>
    <n v="1154.33"/>
    <n v="11"/>
    <n v="0.15"/>
    <d v="2024-09-14T00:00:00"/>
    <n v="441.53"/>
    <d v="2026-10-23T13:39:42"/>
  </r>
  <r>
    <s v="CUST022"/>
    <s v="Linda Brown"/>
    <x v="2"/>
    <x v="0"/>
    <n v="1264.49"/>
    <n v="16"/>
    <n v="0.05"/>
    <d v="2024-09-14T00:00:00"/>
    <n v="480.51"/>
    <d v="2026-10-23T13:39:42"/>
  </r>
  <r>
    <s v="CUST007"/>
    <s v="Emma Taylor"/>
    <x v="0"/>
    <x v="3"/>
    <n v="1101.55"/>
    <n v="4"/>
    <n v="0.1"/>
    <d v="2024-09-16T00:00:00"/>
    <n v="346.99"/>
    <d v="2026-10-23T13:39:42"/>
  </r>
  <r>
    <s v="CUST013"/>
    <s v="Robert Anderson"/>
    <x v="2"/>
    <x v="3"/>
    <n v="727.73"/>
    <n v="1"/>
    <n v="0.1"/>
    <d v="2024-09-17T00:00:00"/>
    <n v="229.23"/>
    <d v="2026-10-23T13:39:42"/>
  </r>
  <r>
    <s v="CUST027"/>
    <s v="Emma Davis"/>
    <x v="1"/>
    <x v="4"/>
    <n v="875.41"/>
    <n v="13"/>
    <n v="0.15"/>
    <d v="2024-09-17T00:00:00"/>
    <n v="334.84"/>
    <d v="2026-10-23T13:39:42"/>
  </r>
  <r>
    <s v="CUST003"/>
    <s v="James Wilson"/>
    <x v="0"/>
    <x v="2"/>
    <n v="1158.94"/>
    <n v="19"/>
    <n v="0.2"/>
    <d v="2024-09-18T00:00:00"/>
    <n v="231.79"/>
    <d v="2026-10-23T13:39:42"/>
  </r>
  <r>
    <s v="CUST018"/>
    <s v="Mary Jackson"/>
    <x v="2"/>
    <x v="0"/>
    <n v="966.3"/>
    <n v="2"/>
    <n v="0.15"/>
    <d v="2024-09-22T00:00:00"/>
    <n v="328.54"/>
    <d v="2026-10-23T13:39:42"/>
  </r>
  <r>
    <s v="CUST020"/>
    <s v="James Taylor"/>
    <x v="2"/>
    <x v="0"/>
    <n v="917.48"/>
    <n v="6"/>
    <n v="0"/>
    <d v="2024-09-23T00:00:00"/>
    <n v="366.99"/>
    <d v="2026-10-23T13:39:42"/>
  </r>
  <r>
    <s v="CUST029"/>
    <s v="Emma Wilson"/>
    <x v="0"/>
    <x v="3"/>
    <n v="1172.97"/>
    <n v="7"/>
    <n v="0.15"/>
    <d v="2024-09-24T00:00:00"/>
    <n v="348.96"/>
    <d v="2026-10-23T13:39:42"/>
  </r>
  <r>
    <s v="CUST021"/>
    <s v="James Wilson"/>
    <x v="3"/>
    <x v="1"/>
    <n v="1205.82"/>
    <n v="11"/>
    <n v="0.1"/>
    <d v="2024-09-24T00:00:00"/>
    <n v="542.62"/>
    <d v="2026-10-23T13:39:42"/>
  </r>
  <r>
    <s v="CUST017"/>
    <s v="Sarah Davis"/>
    <x v="0"/>
    <x v="4"/>
    <n v="826.93"/>
    <n v="10"/>
    <n v="0.2"/>
    <d v="2024-09-29T00:00:00"/>
    <n v="297.69"/>
    <d v="2026-10-23T13:39:42"/>
  </r>
  <r>
    <s v="CUST003"/>
    <s v="James Wilson"/>
    <x v="4"/>
    <x v="1"/>
    <n v="902.19"/>
    <n v="12"/>
    <n v="0"/>
    <d v="2024-09-29T00:00:00"/>
    <n v="451.1"/>
    <d v="2026-10-23T13:39:42"/>
  </r>
  <r>
    <s v="CUST027"/>
    <s v="Emma Davis"/>
    <x v="3"/>
    <x v="0"/>
    <n v="585.97"/>
    <n v="17"/>
    <n v="0.1"/>
    <d v="2024-09-30T00:00:00"/>
    <n v="210.95"/>
    <d v="2026-10-23T13:39:42"/>
  </r>
  <r>
    <s v="CUST016"/>
    <s v="Michael Anderson"/>
    <x v="3"/>
    <x v="1"/>
    <n v="990.19"/>
    <n v="8"/>
    <n v="0.1"/>
    <d v="2024-09-30T00:00:00"/>
    <n v="445.59"/>
    <d v="2026-10-23T13:39:42"/>
  </r>
  <r>
    <s v="CUST008"/>
    <s v="David Davis"/>
    <x v="4"/>
    <x v="2"/>
    <n v="1014.09"/>
    <n v="13"/>
    <n v="0.2"/>
    <d v="2024-10-02T00:00:00"/>
    <n v="202.82"/>
    <d v="2026-10-23T13:39:42"/>
  </r>
  <r>
    <s v="CUST012"/>
    <s v="Lisa Davis"/>
    <x v="3"/>
    <x v="2"/>
    <n v="925.29"/>
    <n v="17"/>
    <n v="0"/>
    <d v="2024-10-05T00:00:00"/>
    <n v="231.32"/>
    <d v="2026-10-23T13:39:42"/>
  </r>
  <r>
    <s v="CUST025"/>
    <s v="Mary Jackson"/>
    <x v="1"/>
    <x v="3"/>
    <n v="1286.54"/>
    <n v="8"/>
    <n v="0"/>
    <d v="2024-10-10T00:00:00"/>
    <n v="450.29"/>
    <d v="2026-10-23T13:39:42"/>
  </r>
  <r>
    <s v="CUST014"/>
    <s v="Sarah Davis"/>
    <x v="2"/>
    <x v="0"/>
    <n v="961.62"/>
    <n v="8"/>
    <n v="0.2"/>
    <d v="2024-10-12T00:00:00"/>
    <n v="307.72000000000003"/>
    <d v="2026-10-23T13:39:42"/>
  </r>
  <r>
    <s v="CUST008"/>
    <s v="James Wilson"/>
    <x v="1"/>
    <x v="0"/>
    <n v="1081.1400000000001"/>
    <n v="19"/>
    <n v="0.15"/>
    <d v="2024-10-12T00:00:00"/>
    <n v="367.59"/>
    <d v="2026-10-23T13:39:42"/>
  </r>
  <r>
    <s v="CUST015"/>
    <s v="James Wilson"/>
    <x v="0"/>
    <x v="1"/>
    <n v="1923.66"/>
    <n v="9"/>
    <n v="0.2"/>
    <d v="2024-10-15T00:00:00"/>
    <n v="769.46"/>
    <d v="2026-10-23T13:39:42"/>
  </r>
  <r>
    <s v="CUST025"/>
    <s v="Emma Taylor"/>
    <x v="4"/>
    <x v="1"/>
    <n v="728.71"/>
    <n v="14"/>
    <n v="0.1"/>
    <d v="2024-10-16T00:00:00"/>
    <n v="327.92"/>
    <d v="2026-10-23T13:39:42"/>
  </r>
  <r>
    <s v="CUST019"/>
    <s v="Linda Jackson"/>
    <x v="4"/>
    <x v="1"/>
    <n v="1301.8900000000001"/>
    <n v="7"/>
    <n v="0.15"/>
    <d v="2024-10-16T00:00:00"/>
    <n v="553.29999999999995"/>
    <d v="2026-10-23T13:39:42"/>
  </r>
  <r>
    <s v="CUST024"/>
    <s v="Emma Taylor"/>
    <x v="1"/>
    <x v="0"/>
    <n v="980.18"/>
    <n v="16"/>
    <n v="0.1"/>
    <d v="2024-10-17T00:00:00"/>
    <n v="352.86"/>
    <d v="2026-10-23T13:39:42"/>
  </r>
  <r>
    <s v="CUST027"/>
    <s v="James Wilson"/>
    <x v="0"/>
    <x v="1"/>
    <n v="697.57"/>
    <n v="17"/>
    <n v="0.1"/>
    <d v="2024-10-19T00:00:00"/>
    <n v="313.91000000000003"/>
    <d v="2026-10-23T13:39:42"/>
  </r>
  <r>
    <s v="CUST006"/>
    <s v="David Anderson"/>
    <x v="0"/>
    <x v="3"/>
    <n v="1193.6099999999999"/>
    <n v="1"/>
    <n v="0.15"/>
    <d v="2024-10-19T00:00:00"/>
    <n v="355.1"/>
    <d v="2026-10-23T13:39:42"/>
  </r>
  <r>
    <s v="CUST009"/>
    <s v="Emma Davis"/>
    <x v="2"/>
    <x v="2"/>
    <n v="771.02"/>
    <n v="1"/>
    <n v="0"/>
    <d v="2024-10-20T00:00:00"/>
    <n v="192.76"/>
    <d v="2026-10-23T13:39:42"/>
  </r>
  <r>
    <s v="CUST003"/>
    <s v="Linda Moore"/>
    <x v="3"/>
    <x v="1"/>
    <n v="661.09"/>
    <n v="1"/>
    <n v="0.2"/>
    <d v="2024-10-28T00:00:00"/>
    <n v="264.44"/>
    <d v="2026-10-23T13:39:42"/>
  </r>
  <r>
    <s v="CUST012"/>
    <s v="David Brown"/>
    <x v="0"/>
    <x v="2"/>
    <n v="688.83"/>
    <n v="15"/>
    <n v="0"/>
    <d v="2024-10-30T00:00:00"/>
    <n v="172.21"/>
    <d v="2026-10-23T13:39:42"/>
  </r>
  <r>
    <s v="CUST013"/>
    <s v="Linda Wilson"/>
    <x v="4"/>
    <x v="0"/>
    <n v="1249.0999999999999"/>
    <n v="4"/>
    <n v="0.05"/>
    <d v="2024-11-01T00:00:00"/>
    <n v="474.66"/>
    <d v="2026-10-23T13:39:42"/>
  </r>
  <r>
    <s v="CUST008"/>
    <s v="James Wilson"/>
    <x v="1"/>
    <x v="4"/>
    <n v="1014.22"/>
    <n v="14"/>
    <n v="0.05"/>
    <d v="2024-11-03T00:00:00"/>
    <n v="433.58"/>
    <d v="2026-10-23T13:39:42"/>
  </r>
  <r>
    <s v="CUST025"/>
    <s v="Lisa Davis"/>
    <x v="1"/>
    <x v="0"/>
    <n v="1010.58"/>
    <n v="2"/>
    <n v="0.15"/>
    <d v="2024-11-09T00:00:00"/>
    <n v="343.6"/>
    <d v="2026-10-23T13:39:42"/>
  </r>
  <r>
    <s v="CUST026"/>
    <s v="Mary Wilson"/>
    <x v="3"/>
    <x v="3"/>
    <n v="957.29"/>
    <n v="4"/>
    <n v="0.05"/>
    <d v="2024-11-09T00:00:00"/>
    <n v="318.3"/>
    <d v="2026-10-23T13:39:42"/>
  </r>
  <r>
    <s v="CUST001"/>
    <s v="Lisa Thomas"/>
    <x v="3"/>
    <x v="3"/>
    <n v="1077.92"/>
    <n v="3"/>
    <n v="0.05"/>
    <d v="2024-11-12T00:00:00"/>
    <n v="358.41"/>
    <d v="2026-10-23T13:39:42"/>
  </r>
  <r>
    <s v="CUST028"/>
    <s v="Linda Brown"/>
    <x v="2"/>
    <x v="1"/>
    <n v="1163.01"/>
    <n v="5"/>
    <n v="0"/>
    <d v="2024-11-15T00:00:00"/>
    <n v="581.5"/>
    <d v="2026-10-23T13:39:42"/>
  </r>
  <r>
    <s v="CUST025"/>
    <s v="Lisa Thomas"/>
    <x v="1"/>
    <x v="4"/>
    <n v="1014.56"/>
    <n v="10"/>
    <n v="0.1"/>
    <d v="2024-11-16T00:00:00"/>
    <n v="410.9"/>
    <d v="2026-10-23T13:39:42"/>
  </r>
  <r>
    <s v="CUST019"/>
    <s v="James Taylor"/>
    <x v="2"/>
    <x v="2"/>
    <n v="718.04"/>
    <n v="14"/>
    <n v="0"/>
    <d v="2024-11-17T00:00:00"/>
    <n v="179.51"/>
    <d v="2026-10-23T13:39:42"/>
  </r>
  <r>
    <s v="CUST004"/>
    <s v="James Taylor"/>
    <x v="4"/>
    <x v="1"/>
    <n v="1277.8499999999999"/>
    <n v="18"/>
    <n v="0.2"/>
    <d v="2024-11-17T00:00:00"/>
    <n v="511.14"/>
    <d v="2026-10-23T13:39:42"/>
  </r>
  <r>
    <s v="CUST024"/>
    <s v="James Wilson"/>
    <x v="3"/>
    <x v="2"/>
    <n v="706.73"/>
    <n v="1"/>
    <n v="0.15"/>
    <d v="2024-11-17T00:00:00"/>
    <n v="150.18"/>
    <d v="2026-10-23T13:39:42"/>
  </r>
  <r>
    <s v="CUST002"/>
    <s v="Linda Brown"/>
    <x v="1"/>
    <x v="2"/>
    <n v="1410.59"/>
    <n v="15"/>
    <n v="0"/>
    <d v="2024-11-19T00:00:00"/>
    <n v="352.65"/>
    <d v="2026-10-23T13:39:42"/>
  </r>
  <r>
    <s v="CUST009"/>
    <s v="Emma Wilson"/>
    <x v="2"/>
    <x v="3"/>
    <n v="1350.33"/>
    <n v="10"/>
    <n v="0"/>
    <d v="2024-11-19T00:00:00"/>
    <n v="472.62"/>
    <d v="2026-10-23T13:39:42"/>
  </r>
  <r>
    <s v="CUST029"/>
    <s v="Lisa Thomas"/>
    <x v="1"/>
    <x v="2"/>
    <n v="919.18"/>
    <n v="4"/>
    <n v="0.15"/>
    <d v="2024-11-19T00:00:00"/>
    <n v="195.33"/>
    <d v="2026-10-23T13:39:42"/>
  </r>
  <r>
    <s v="CUST027"/>
    <s v="James Wilson"/>
    <x v="0"/>
    <x v="2"/>
    <n v="258.51"/>
    <n v="19"/>
    <n v="0"/>
    <d v="2024-11-20T00:00:00"/>
    <n v="64.63"/>
    <d v="2026-10-23T13:39:42"/>
  </r>
  <r>
    <s v="CUST011"/>
    <s v="Emma Wilson"/>
    <x v="1"/>
    <x v="0"/>
    <n v="1213.48"/>
    <n v="5"/>
    <n v="0.05"/>
    <d v="2024-11-20T00:00:00"/>
    <n v="461.12"/>
    <d v="2026-10-23T13:39:42"/>
  </r>
  <r>
    <s v="CUST021"/>
    <s v="Emma Davis"/>
    <x v="4"/>
    <x v="0"/>
    <n v="1150.28"/>
    <n v="8"/>
    <n v="0.05"/>
    <d v="2024-11-26T00:00:00"/>
    <n v="437.11"/>
    <d v="2026-10-23T13:39:42"/>
  </r>
  <r>
    <s v="CUST014"/>
    <s v="David Anderson"/>
    <x v="2"/>
    <x v="3"/>
    <n v="853.86"/>
    <n v="8"/>
    <n v="0.1"/>
    <d v="2024-11-26T00:00:00"/>
    <n v="268.97000000000003"/>
    <d v="2026-10-23T13:39:42"/>
  </r>
  <r>
    <s v="CUST018"/>
    <s v="Lisa Thomas"/>
    <x v="2"/>
    <x v="2"/>
    <n v="1061.04"/>
    <n v="1"/>
    <n v="0"/>
    <d v="2024-11-28T00:00:00"/>
    <n v="265.26"/>
    <d v="2026-10-23T13:39:42"/>
  </r>
  <r>
    <s v="CUST001"/>
    <s v="Sarah Anderson"/>
    <x v="0"/>
    <x v="2"/>
    <n v="894.55"/>
    <n v="19"/>
    <n v="0.2"/>
    <d v="2024-11-29T00:00:00"/>
    <n v="178.91"/>
    <d v="2026-10-23T13:39:42"/>
  </r>
  <r>
    <s v="CUST007"/>
    <s v="Emma Davis"/>
    <x v="3"/>
    <x v="4"/>
    <n v="833.91"/>
    <n v="3"/>
    <n v="0.05"/>
    <d v="2024-11-30T00:00:00"/>
    <n v="356.5"/>
    <d v="2026-10-23T13:39:42"/>
  </r>
  <r>
    <s v="CUST015"/>
    <s v="David Anderson"/>
    <x v="0"/>
    <x v="3"/>
    <n v="820.19"/>
    <n v="4"/>
    <n v="0.2"/>
    <d v="2024-12-04T00:00:00"/>
    <n v="229.65"/>
    <d v="2026-10-23T13:39:42"/>
  </r>
  <r>
    <s v="CUST015"/>
    <s v="Emma Davis"/>
    <x v="4"/>
    <x v="2"/>
    <n v="511.74"/>
    <n v="8"/>
    <n v="0.05"/>
    <d v="2024-12-05T00:00:00"/>
    <n v="121.54"/>
    <d v="2026-10-23T13:39:42"/>
  </r>
  <r>
    <s v="CUST002"/>
    <s v="Emma Wilson"/>
    <x v="2"/>
    <x v="3"/>
    <n v="806.03"/>
    <n v="19"/>
    <n v="0.05"/>
    <d v="2024-12-12T00:00:00"/>
    <n v="268"/>
    <d v="2026-10-23T13:39:42"/>
  </r>
  <r>
    <s v="CUST001"/>
    <s v="Michael Anderson"/>
    <x v="4"/>
    <x v="3"/>
    <n v="1432.47"/>
    <n v="16"/>
    <n v="0.15"/>
    <d v="2024-12-14T00:00:00"/>
    <n v="426.16"/>
    <d v="2026-10-23T13:39:42"/>
  </r>
  <r>
    <s v="CUST027"/>
    <s v="Linda Wilson"/>
    <x v="4"/>
    <x v="2"/>
    <n v="1488.58"/>
    <n v="10"/>
    <n v="0.15"/>
    <d v="2024-12-14T00:00:00"/>
    <n v="316.32"/>
    <d v="2026-10-23T13:39:42"/>
  </r>
  <r>
    <s v="CUST026"/>
    <s v="Emma Taylor"/>
    <x v="1"/>
    <x v="0"/>
    <n v="1231.26"/>
    <n v="9"/>
    <n v="0"/>
    <d v="2024-12-20T00:00:00"/>
    <n v="492.5"/>
    <d v="2026-10-23T13:39:42"/>
  </r>
  <r>
    <s v="CUST026"/>
    <s v="Sarah Anderson"/>
    <x v="0"/>
    <x v="2"/>
    <n v="1161.67"/>
    <n v="19"/>
    <n v="0.2"/>
    <d v="2024-12-21T00:00:00"/>
    <n v="232.33"/>
    <d v="2026-10-23T13:39:42"/>
  </r>
  <r>
    <s v="CUST022"/>
    <s v="Lisa Thomas"/>
    <x v="4"/>
    <x v="4"/>
    <n v="388.23"/>
    <n v="16"/>
    <n v="0.05"/>
    <d v="2024-12-24T00:00:00"/>
    <n v="165.97"/>
    <d v="2026-10-23T13:39:42"/>
  </r>
  <r>
    <s v="CUST004"/>
    <s v="Mary Davis"/>
    <x v="3"/>
    <x v="1"/>
    <n v="1589.42"/>
    <n v="6"/>
    <n v="0.15"/>
    <d v="2024-12-25T00:00:00"/>
    <n v="675.5"/>
    <d v="2026-10-23T13:39:42"/>
  </r>
  <r>
    <s v="CUST001"/>
    <s v="David Anderson"/>
    <x v="3"/>
    <x v="1"/>
    <n v="336.66"/>
    <n v="13"/>
    <n v="0.2"/>
    <d v="2024-12-25T00:00:00"/>
    <n v="134.66"/>
    <d v="2026-10-23T13:39:42"/>
  </r>
  <r>
    <s v="CUST022"/>
    <s v="James Wilson"/>
    <x v="0"/>
    <x v="0"/>
    <n v="1353.79"/>
    <n v="14"/>
    <n v="0.1"/>
    <d v="2024-12-30T00:00:00"/>
    <n v="487.36"/>
    <d v="2026-10-23T13:39:42"/>
  </r>
  <r>
    <s v="CUST011"/>
    <s v="Linda Moore"/>
    <x v="4"/>
    <x v="1"/>
    <n v="662.61"/>
    <n v="11"/>
    <n v="0.05"/>
    <d v="2025-01-01T00:00:00"/>
    <n v="314.74"/>
    <d v="2026-10-23T13:39:42"/>
  </r>
  <r>
    <s v="CUST028"/>
    <s v="Lisa Davis"/>
    <x v="3"/>
    <x v="4"/>
    <n v="309.42"/>
    <n v="1"/>
    <n v="0.2"/>
    <d v="2025-01-01T00:00:00"/>
    <n v="111.39"/>
    <d v="2026-10-23T13:39:42"/>
  </r>
  <r>
    <s v="CUST011"/>
    <s v="Linda Wilson"/>
    <x v="3"/>
    <x v="0"/>
    <n v="884.63"/>
    <n v="18"/>
    <n v="0.1"/>
    <d v="2025-01-02T00:00:00"/>
    <n v="318.47000000000003"/>
    <d v="2026-10-23T13:39:42"/>
  </r>
  <r>
    <s v="CUST028"/>
    <s v="James Wilson"/>
    <x v="4"/>
    <x v="4"/>
    <n v="745.05"/>
    <n v="10"/>
    <n v="0.1"/>
    <d v="2025-01-03T00:00:00"/>
    <n v="301.75"/>
    <d v="2026-10-23T13:39:42"/>
  </r>
  <r>
    <s v="CUST016"/>
    <s v="James Taylor"/>
    <x v="2"/>
    <x v="1"/>
    <n v="870.23"/>
    <n v="5"/>
    <n v="0.05"/>
    <d v="2025-01-03T00:00:00"/>
    <n v="413.36"/>
    <d v="2026-10-23T13:39:42"/>
  </r>
  <r>
    <s v="CUST010"/>
    <s v="Linda Wilson"/>
    <x v="0"/>
    <x v="3"/>
    <n v="862.19"/>
    <n v="18"/>
    <n v="0.05"/>
    <d v="2025-01-06T00:00:00"/>
    <n v="286.68"/>
    <d v="2026-10-23T13:39:42"/>
  </r>
  <r>
    <s v="CUST013"/>
    <s v="Mary Wilson"/>
    <x v="3"/>
    <x v="1"/>
    <n v="1171.18"/>
    <n v="19"/>
    <n v="0.05"/>
    <d v="2025-01-10T00:00:00"/>
    <n v="556.30999999999995"/>
    <d v="2026-10-23T13:39:42"/>
  </r>
  <r>
    <s v="CUST015"/>
    <s v="Robert Anderson"/>
    <x v="2"/>
    <x v="3"/>
    <n v="1054.56"/>
    <n v="11"/>
    <n v="0.1"/>
    <d v="2025-01-12T00:00:00"/>
    <n v="332.19"/>
    <d v="2026-10-23T13:39:42"/>
  </r>
  <r>
    <s v="CUST015"/>
    <s v="James Wilson"/>
    <x v="3"/>
    <x v="2"/>
    <n v="1681.21"/>
    <n v="5"/>
    <n v="0.2"/>
    <d v="2025-01-13T00:00:00"/>
    <n v="336.24"/>
    <d v="2026-10-23T13:39:42"/>
  </r>
  <r>
    <s v="CUST015"/>
    <s v="David Thomas"/>
    <x v="0"/>
    <x v="1"/>
    <n v="379.77"/>
    <n v="9"/>
    <n v="0.05"/>
    <d v="2025-01-16T00:00:00"/>
    <n v="180.39"/>
    <d v="2026-10-23T13:39:42"/>
  </r>
  <r>
    <s v="CUST008"/>
    <s v="Lisa Thomas"/>
    <x v="4"/>
    <x v="1"/>
    <n v="1076.33"/>
    <n v="2"/>
    <n v="0.1"/>
    <d v="2025-01-17T00:00:00"/>
    <n v="484.35"/>
    <d v="2026-10-23T13:39:42"/>
  </r>
  <r>
    <s v="CUST008"/>
    <s v="Mary Davis"/>
    <x v="4"/>
    <x v="4"/>
    <n v="1250.71"/>
    <n v="7"/>
    <n v="0"/>
    <d v="2025-01-17T00:00:00"/>
    <n v="562.82000000000005"/>
    <d v="2026-10-23T13:39:42"/>
  </r>
  <r>
    <s v="CUST023"/>
    <s v="James Taylor"/>
    <x v="2"/>
    <x v="1"/>
    <n v="1118.3399999999999"/>
    <n v="6"/>
    <n v="0.2"/>
    <d v="2025-01-17T00:00:00"/>
    <n v="447.34"/>
    <d v="2026-10-23T13:39:42"/>
  </r>
  <r>
    <s v="CUST024"/>
    <s v="Linda Taylor"/>
    <x v="3"/>
    <x v="1"/>
    <n v="1622.62"/>
    <n v="12"/>
    <n v="0.2"/>
    <d v="2025-01-20T00:00:00"/>
    <n v="649.04999999999995"/>
    <d v="2026-10-23T13:39:42"/>
  </r>
  <r>
    <s v="CUST018"/>
    <s v="Lisa Davis"/>
    <x v="3"/>
    <x v="0"/>
    <n v="640.64"/>
    <n v="11"/>
    <n v="0.2"/>
    <d v="2025-01-21T00:00:00"/>
    <n v="205"/>
    <d v="2026-10-23T13:39:42"/>
  </r>
  <r>
    <s v="CUST030"/>
    <s v="Sarah Anderson"/>
    <x v="0"/>
    <x v="1"/>
    <n v="585.16"/>
    <n v="17"/>
    <n v="0.1"/>
    <d v="2025-01-27T00:00:00"/>
    <n v="263.32"/>
    <d v="2026-10-23T13:39:42"/>
  </r>
  <r>
    <s v="CUST030"/>
    <s v="Mary Davis"/>
    <x v="1"/>
    <x v="1"/>
    <n v="1109.98"/>
    <n v="5"/>
    <n v="0.2"/>
    <d v="2025-02-02T00:00:00"/>
    <n v="443.99"/>
    <d v="2026-10-23T13:39:42"/>
  </r>
  <r>
    <s v="CUST015"/>
    <s v="Lisa Thomas"/>
    <x v="1"/>
    <x v="0"/>
    <n v="1098.08"/>
    <n v="9"/>
    <n v="0.1"/>
    <d v="2025-02-04T00:00:00"/>
    <n v="395.31"/>
    <d v="2026-10-23T13:39:42"/>
  </r>
  <r>
    <s v="CUST002"/>
    <s v="Lisa Davis"/>
    <x v="0"/>
    <x v="4"/>
    <n v="827.25"/>
    <n v="7"/>
    <n v="0.1"/>
    <d v="2025-02-05T00:00:00"/>
    <n v="335.04"/>
    <d v="2026-10-23T13:39:42"/>
  </r>
  <r>
    <s v="CUST024"/>
    <s v="Linda Wilson"/>
    <x v="4"/>
    <x v="1"/>
    <n v="741.88"/>
    <n v="16"/>
    <n v="0.1"/>
    <d v="2025-02-07T00:00:00"/>
    <n v="333.85"/>
    <d v="2026-10-23T13:39:42"/>
  </r>
  <r>
    <s v="CUST004"/>
    <s v="James Davis"/>
    <x v="1"/>
    <x v="4"/>
    <n v="1311.26"/>
    <n v="6"/>
    <n v="0.1"/>
    <d v="2025-02-10T00:00:00"/>
    <n v="531.05999999999995"/>
    <d v="2026-10-23T13:39:42"/>
  </r>
  <r>
    <s v="CUST004"/>
    <s v="Mary Davis"/>
    <x v="2"/>
    <x v="4"/>
    <n v="573.32000000000005"/>
    <n v="19"/>
    <n v="0.1"/>
    <d v="2025-02-15T00:00:00"/>
    <n v="232.19"/>
    <d v="2026-10-23T13:39:42"/>
  </r>
  <r>
    <s v="CUST028"/>
    <s v="James Wilson"/>
    <x v="0"/>
    <x v="2"/>
    <n v="1115.22"/>
    <n v="14"/>
    <n v="0.2"/>
    <d v="2025-02-17T00:00:00"/>
    <n v="223.04"/>
    <d v="2026-10-23T13:39:42"/>
  </r>
  <r>
    <s v="CUST012"/>
    <s v="Lisa Thomas"/>
    <x v="3"/>
    <x v="1"/>
    <n v="845.84"/>
    <n v="4"/>
    <n v="0"/>
    <d v="2025-02-19T00:00:00"/>
    <n v="422.92"/>
    <d v="2026-10-23T13:39:42"/>
  </r>
  <r>
    <s v="CUST026"/>
    <s v="David Brown"/>
    <x v="0"/>
    <x v="2"/>
    <n v="1029.8"/>
    <n v="3"/>
    <n v="0"/>
    <d v="2025-02-20T00:00:00"/>
    <n v="257.45"/>
    <d v="2026-10-23T13:39:42"/>
  </r>
  <r>
    <s v="CUST009"/>
    <s v="Mary Davis"/>
    <x v="3"/>
    <x v="0"/>
    <n v="1189.83"/>
    <n v="2"/>
    <n v="0.2"/>
    <d v="2025-02-21T00:00:00"/>
    <n v="380.75"/>
    <d v="2026-10-23T13:39:42"/>
  </r>
  <r>
    <s v="CUST003"/>
    <s v="Sarah Anderson"/>
    <x v="2"/>
    <x v="0"/>
    <n v="704.28"/>
    <n v="15"/>
    <n v="0.2"/>
    <d v="2025-02-24T00:00:00"/>
    <n v="225.37"/>
    <d v="2026-10-23T13:39:42"/>
  </r>
  <r>
    <s v="CUST002"/>
    <s v="Mary Jackson"/>
    <x v="4"/>
    <x v="4"/>
    <n v="1618.22"/>
    <n v="12"/>
    <n v="0.2"/>
    <d v="2025-02-24T00:00:00"/>
    <n v="582.55999999999995"/>
    <d v="2026-10-23T13:39:42"/>
  </r>
  <r>
    <s v="CUST013"/>
    <s v="Linda Taylor"/>
    <x v="4"/>
    <x v="0"/>
    <n v="1014.43"/>
    <n v="2"/>
    <n v="0.15"/>
    <d v="2025-02-25T00:00:00"/>
    <n v="344.91"/>
    <d v="2026-10-23T13:39:42"/>
  </r>
  <r>
    <s v="CUST018"/>
    <s v="Mary Davis"/>
    <x v="4"/>
    <x v="1"/>
    <n v="826.97"/>
    <n v="18"/>
    <n v="0.2"/>
    <d v="2025-02-27T00:00:00"/>
    <n v="330.79"/>
    <d v="2026-10-23T13:39:42"/>
  </r>
  <r>
    <s v="CUST017"/>
    <s v="Mary Davis"/>
    <x v="4"/>
    <x v="1"/>
    <n v="1022.23"/>
    <n v="8"/>
    <n v="0.1"/>
    <d v="2025-03-01T00:00:00"/>
    <n v="460"/>
    <d v="2026-10-23T13:39:42"/>
  </r>
  <r>
    <s v="CUST004"/>
    <s v="Linda Wilson"/>
    <x v="1"/>
    <x v="0"/>
    <n v="1099.69"/>
    <n v="6"/>
    <n v="0"/>
    <d v="2025-03-02T00:00:00"/>
    <n v="439.88"/>
    <d v="2026-10-23T13:39:42"/>
  </r>
  <r>
    <s v="CUST028"/>
    <s v="Sarah Davis"/>
    <x v="3"/>
    <x v="0"/>
    <n v="710.52"/>
    <n v="8"/>
    <n v="0.1"/>
    <d v="2025-03-05T00:00:00"/>
    <n v="255.79"/>
    <d v="2026-10-23T13:39:42"/>
  </r>
  <r>
    <s v="CUST028"/>
    <s v="Mary Wilson"/>
    <x v="3"/>
    <x v="0"/>
    <n v="499.18"/>
    <n v="15"/>
    <n v="0.2"/>
    <d v="2025-03-08T00:00:00"/>
    <n v="159.74"/>
    <d v="2026-10-23T13:39:42"/>
  </r>
  <r>
    <s v="CUST014"/>
    <s v="Emma Davis"/>
    <x v="2"/>
    <x v="0"/>
    <n v="1064.19"/>
    <n v="18"/>
    <n v="0.05"/>
    <d v="2025-03-09T00:00:00"/>
    <n v="404.39"/>
    <d v="2026-10-23T13:39:42"/>
  </r>
  <r>
    <s v="CUST003"/>
    <s v="Emma Davis"/>
    <x v="1"/>
    <x v="4"/>
    <n v="438.76"/>
    <n v="18"/>
    <n v="0.05"/>
    <d v="2025-03-10T00:00:00"/>
    <n v="187.57"/>
    <d v="2026-10-23T13:39:42"/>
  </r>
  <r>
    <s v="CUST029"/>
    <s v="David Brown"/>
    <x v="0"/>
    <x v="1"/>
    <n v="864.98"/>
    <n v="2"/>
    <n v="0.05"/>
    <d v="2025-03-11T00:00:00"/>
    <n v="410.87"/>
    <d v="2026-10-23T13:39:42"/>
  </r>
  <r>
    <s v="CUST021"/>
    <s v="David Brown"/>
    <x v="0"/>
    <x v="3"/>
    <n v="984.93"/>
    <n v="14"/>
    <n v="0.2"/>
    <d v="2025-03-17T00:00:00"/>
    <n v="275.77999999999997"/>
    <d v="2026-10-23T13:39:42"/>
  </r>
  <r>
    <s v="CUST007"/>
    <s v="David Brown"/>
    <x v="0"/>
    <x v="1"/>
    <n v="1493.49"/>
    <n v="18"/>
    <n v="0"/>
    <d v="2025-03-18T00:00:00"/>
    <n v="746.74"/>
    <d v="2026-10-23T13:39:42"/>
  </r>
  <r>
    <s v="CUST009"/>
    <s v="Linda Taylor"/>
    <x v="2"/>
    <x v="1"/>
    <n v="689.43"/>
    <n v="9"/>
    <n v="0.1"/>
    <d v="2025-03-20T00:00:00"/>
    <n v="310.24"/>
    <d v="2026-10-23T13:39:42"/>
  </r>
  <r>
    <s v="CUST023"/>
    <s v="Mary Wilson"/>
    <x v="2"/>
    <x v="1"/>
    <n v="682.24"/>
    <n v="1"/>
    <n v="0"/>
    <d v="2025-03-22T00:00:00"/>
    <n v="341.12"/>
    <d v="2026-10-23T13:39:42"/>
  </r>
  <r>
    <s v="CUST029"/>
    <s v="Michael Anderson"/>
    <x v="3"/>
    <x v="2"/>
    <n v="458.54"/>
    <n v="15"/>
    <n v="0.2"/>
    <d v="2025-03-25T00:00:00"/>
    <n v="91.71"/>
    <d v="2026-10-23T13:39:42"/>
  </r>
  <r>
    <s v="CUST009"/>
    <s v="Michael Anderson"/>
    <x v="2"/>
    <x v="3"/>
    <n v="1184.25"/>
    <n v="11"/>
    <n v="0.2"/>
    <d v="2025-03-26T00:00:00"/>
    <n v="331.59"/>
    <d v="2026-10-23T13:39:42"/>
  </r>
  <r>
    <s v="CUST007"/>
    <s v="James Davis"/>
    <x v="2"/>
    <x v="1"/>
    <n v="762.14"/>
    <n v="9"/>
    <n v="0"/>
    <d v="2025-03-27T00:00:00"/>
    <n v="381.07"/>
    <d v="2026-10-23T13:39:42"/>
  </r>
  <r>
    <s v="CUST030"/>
    <s v="Linda Taylor"/>
    <x v="3"/>
    <x v="0"/>
    <n v="750.71"/>
    <n v="10"/>
    <n v="0.15"/>
    <d v="2025-03-27T00:00:00"/>
    <n v="255.24"/>
    <d v="2026-10-23T13:39:42"/>
  </r>
  <r>
    <s v="CUST018"/>
    <s v="David Anderson"/>
    <x v="4"/>
    <x v="1"/>
    <n v="1456.94"/>
    <n v="14"/>
    <n v="0.05"/>
    <d v="2025-03-29T00:00:00"/>
    <n v="692.05"/>
    <d v="2026-10-23T13:39:42"/>
  </r>
  <r>
    <s v="CUST008"/>
    <s v="Emma Wilson"/>
    <x v="1"/>
    <x v="3"/>
    <n v="1093.3800000000001"/>
    <n v="17"/>
    <n v="0.1"/>
    <d v="2025-03-29T00:00:00"/>
    <n v="344.41"/>
    <d v="2026-10-23T13:39:42"/>
  </r>
  <r>
    <s v="CUST014"/>
    <s v="Sarah Anderson"/>
    <x v="0"/>
    <x v="1"/>
    <n v="934.27"/>
    <n v="8"/>
    <n v="0.15"/>
    <d v="2025-03-30T00:00:00"/>
    <n v="397.06"/>
    <d v="2026-10-23T13:39:42"/>
  </r>
  <r>
    <s v="CUST024"/>
    <s v="David Thomas"/>
    <x v="4"/>
    <x v="1"/>
    <n v="1465.35"/>
    <n v="8"/>
    <n v="0.2"/>
    <d v="2025-03-30T00:00:00"/>
    <n v="586.14"/>
    <d v="2026-10-23T13:39:42"/>
  </r>
  <r>
    <s v="CUST028"/>
    <s v="Robert Anderson"/>
    <x v="2"/>
    <x v="4"/>
    <n v="740.8"/>
    <n v="3"/>
    <n v="0"/>
    <d v="2025-04-02T00:00:00"/>
    <n v="333.36"/>
    <d v="2026-10-23T13:39:42"/>
  </r>
  <r>
    <s v="CUST015"/>
    <s v="Sarah Anderson"/>
    <x v="0"/>
    <x v="4"/>
    <n v="545.44000000000005"/>
    <n v="17"/>
    <n v="0"/>
    <d v="2025-04-05T00:00:00"/>
    <n v="245.45"/>
    <d v="2026-10-23T13:39:42"/>
  </r>
  <r>
    <s v="CUST010"/>
    <s v="David Thomas"/>
    <x v="1"/>
    <x v="0"/>
    <n v="997.61"/>
    <n v="8"/>
    <n v="0.05"/>
    <d v="2025-04-05T00:00:00"/>
    <n v="379.09"/>
    <d v="2026-10-23T13:39:42"/>
  </r>
  <r>
    <s v="CUST016"/>
    <s v="David Thomas"/>
    <x v="2"/>
    <x v="1"/>
    <n v="928.32"/>
    <n v="2"/>
    <n v="0.05"/>
    <d v="2025-04-07T00:00:00"/>
    <n v="440.95"/>
    <d v="2026-10-23T13:39: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E4ED7-C02C-4ACA-B58F-DDAAB4D222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items count="6">
        <item x="4"/>
        <item x="1"/>
        <item x="3"/>
        <item x="2"/>
        <item x="0"/>
        <item t="default"/>
      </items>
    </pivotField>
    <pivotField showAll="0"/>
    <pivotField showAll="0"/>
    <pivotField showAll="0"/>
    <pivotField showAll="0"/>
    <pivotField numFmtId="14" showAll="0"/>
    <pivotField showAll="0"/>
    <pivotField numFmtId="166"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996F5-22CA-4EC4-BCF7-485DD2701F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2" baseItem="0" numFmtId="164"/>
  </dataFields>
  <formats count="2">
    <format dxfId="11">
      <pivotArea outline="0" collapsedLevelsAreSubtotals="1" fieldPosition="0"/>
    </format>
    <format dxfId="10">
      <pivotArea dataOnly="0" labelOnly="1" outline="0" axis="axisValues" fieldPosition="0"/>
    </format>
  </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600BBE-AE4C-4665-A903-ACFCD9F2BB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0">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B173B-5C2D-4F6E-97F0-3804156E36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showAll="0"/>
    <pivotField showAll="0"/>
    <pivotField showAll="0">
      <items count="6">
        <item h="1" x="4"/>
        <item h="1" x="1"/>
        <item x="3"/>
        <item h="1" x="2"/>
        <item h="1"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 numFmtId="166" showAll="0"/>
  </pivotFields>
  <rowFields count="1">
    <field x="3"/>
  </rowFields>
  <rowItems count="6">
    <i>
      <x/>
    </i>
    <i>
      <x v="1"/>
    </i>
    <i>
      <x v="2"/>
    </i>
    <i>
      <x v="3"/>
    </i>
    <i>
      <x v="4"/>
    </i>
    <i t="grand">
      <x/>
    </i>
  </rowItems>
  <colItems count="1">
    <i/>
  </colItems>
  <dataFields count="1">
    <dataField name="Sum of Sales" fld="4" baseField="0" baseItem="0"/>
  </dataFields>
  <formats count="6">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73B183-4CA5-41BC-B6F7-1B258F33BF29}" sourceName="Region">
  <pivotTables>
    <pivotTable tabId="20" name="PivotTable4"/>
  </pivotTables>
  <data>
    <tabular pivotCacheId="1373006260">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C22F87D-CD8B-4BBB-A8A5-320F36327F3C}" sourceName="Region">
  <pivotTables>
    <pivotTable tabId="18" name="PivotTable2"/>
  </pivotTables>
  <data>
    <tabular pivotCacheId="1373006260">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88A3DC4-15B2-4810-989E-09729D5FD202}" sourceName="Product_Category">
  <pivotTables>
    <pivotTable tabId="19" name="PivotTable3"/>
    <pivotTable tabId="18" name="PivotTable2"/>
    <pivotTable tabId="17" name="PivotTable1"/>
  </pivotTables>
  <data>
    <tabular pivotCacheId="137300626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1225808-F805-4FB3-A1E3-77B577A266B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E0C0B72-24A1-4F54-BA11-2321F1C38D95}" cache="Slicer_Region1" caption="Region" rowHeight="241300"/>
  <slicer name="Product_Category" xr10:uid="{3BE9169B-A6BD-487E-B25F-FB2CF27B9D67}" cache="Slicer_Product_Category" caption="Product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495D8-E503-444C-BBB9-C88CDED332DF}" name="sales_table" displayName="sales_table" ref="A1:J201" totalsRowShown="0">
  <autoFilter ref="A1:J201" xr:uid="{DEB495D8-E503-444C-BBB9-C88CDED332DF}"/>
  <tableColumns count="10">
    <tableColumn id="1" xr3:uid="{7088C8B9-F65C-4707-859E-593E0AE452B6}" name="Customer_ID"/>
    <tableColumn id="2" xr3:uid="{65761C13-6DBF-4DCD-9E8E-69C264004D86}" name="Customer_Name"/>
    <tableColumn id="3" xr3:uid="{BD3FDC70-505E-4FCB-A275-3D6CA6B15E56}" name="Region"/>
    <tableColumn id="4" xr3:uid="{468A3C98-9832-4A6E-BB75-BCF22877D49C}" name="Product_Category"/>
    <tableColumn id="5" xr3:uid="{8AD66A0E-62AF-4796-95B3-0F5576735327}" name="Sales"/>
    <tableColumn id="6" xr3:uid="{0FE366C5-C6B9-4EE5-ACCA-8228F947CC2D}" name="Quantity"/>
    <tableColumn id="7" xr3:uid="{E3756393-B1B8-4FBD-AE9C-DC1549611731}" name="Discount"/>
    <tableColumn id="8" xr3:uid="{9A61B118-3AED-4FB7-8518-87C8E97A2E3E}" name="Order_Date" dataDxfId="13"/>
    <tableColumn id="9" xr3:uid="{0328092C-1160-498F-94D2-B091F9FB4084}" name="Profit"/>
    <tableColumn id="10" xr3:uid="{845D5169-C3B4-4558-A355-D8306DD03AD1}" name="analysis_timestamp" dataDxfId="12">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406B-87CE-402A-BE94-6132E180CF92}">
  <dimension ref="A3:C20"/>
  <sheetViews>
    <sheetView workbookViewId="0">
      <selection activeCell="A3" sqref="A3"/>
    </sheetView>
  </sheetViews>
  <sheetFormatPr defaultRowHeight="14.5" x14ac:dyDescent="0.35"/>
  <sheetData>
    <row r="3" spans="1:3" x14ac:dyDescent="0.35">
      <c r="A3" s="19"/>
      <c r="B3" s="20"/>
      <c r="C3" s="21"/>
    </row>
    <row r="4" spans="1:3" x14ac:dyDescent="0.35">
      <c r="A4" s="22"/>
      <c r="B4" s="23"/>
      <c r="C4" s="24"/>
    </row>
    <row r="5" spans="1:3" x14ac:dyDescent="0.35">
      <c r="A5" s="22"/>
      <c r="B5" s="23"/>
      <c r="C5" s="24"/>
    </row>
    <row r="6" spans="1:3" x14ac:dyDescent="0.35">
      <c r="A6" s="22"/>
      <c r="B6" s="23"/>
      <c r="C6" s="24"/>
    </row>
    <row r="7" spans="1:3" x14ac:dyDescent="0.35">
      <c r="A7" s="22"/>
      <c r="B7" s="23"/>
      <c r="C7" s="24"/>
    </row>
    <row r="8" spans="1:3" x14ac:dyDescent="0.35">
      <c r="A8" s="22"/>
      <c r="B8" s="23"/>
      <c r="C8" s="24"/>
    </row>
    <row r="9" spans="1:3" x14ac:dyDescent="0.35">
      <c r="A9" s="22"/>
      <c r="B9" s="23"/>
      <c r="C9" s="24"/>
    </row>
    <row r="10" spans="1:3" x14ac:dyDescent="0.35">
      <c r="A10" s="22"/>
      <c r="B10" s="23"/>
      <c r="C10" s="24"/>
    </row>
    <row r="11" spans="1:3" x14ac:dyDescent="0.35">
      <c r="A11" s="22"/>
      <c r="B11" s="23"/>
      <c r="C11" s="24"/>
    </row>
    <row r="12" spans="1:3" x14ac:dyDescent="0.35">
      <c r="A12" s="22"/>
      <c r="B12" s="23"/>
      <c r="C12" s="24"/>
    </row>
    <row r="13" spans="1:3" x14ac:dyDescent="0.35">
      <c r="A13" s="22"/>
      <c r="B13" s="23"/>
      <c r="C13" s="24"/>
    </row>
    <row r="14" spans="1:3" x14ac:dyDescent="0.35">
      <c r="A14" s="22"/>
      <c r="B14" s="23"/>
      <c r="C14" s="24"/>
    </row>
    <row r="15" spans="1:3" x14ac:dyDescent="0.35">
      <c r="A15" s="22"/>
      <c r="B15" s="23"/>
      <c r="C15" s="24"/>
    </row>
    <row r="16" spans="1:3" x14ac:dyDescent="0.35">
      <c r="A16" s="22"/>
      <c r="B16" s="23"/>
      <c r="C16" s="24"/>
    </row>
    <row r="17" spans="1:3" x14ac:dyDescent="0.35">
      <c r="A17" s="22"/>
      <c r="B17" s="23"/>
      <c r="C17" s="24"/>
    </row>
    <row r="18" spans="1:3" x14ac:dyDescent="0.35">
      <c r="A18" s="22"/>
      <c r="B18" s="23"/>
      <c r="C18" s="24"/>
    </row>
    <row r="19" spans="1:3" x14ac:dyDescent="0.35">
      <c r="A19" s="22"/>
      <c r="B19" s="23"/>
      <c r="C19" s="24"/>
    </row>
    <row r="20" spans="1:3" x14ac:dyDescent="0.35">
      <c r="A20" s="25"/>
      <c r="B20" s="26"/>
      <c r="C20" s="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EBA3-185A-4712-9E8C-CBB5987D2511}">
  <dimension ref="A1:J201"/>
  <sheetViews>
    <sheetView topLeftCell="A2" zoomScale="115" workbookViewId="0">
      <selection activeCell="D2" sqref="D2"/>
    </sheetView>
  </sheetViews>
  <sheetFormatPr defaultRowHeight="14.5" x14ac:dyDescent="0.35"/>
  <cols>
    <col min="1" max="1" width="13.81640625" customWidth="1"/>
    <col min="2" max="2" width="22.6328125" customWidth="1"/>
    <col min="4" max="4" width="17.90625" customWidth="1"/>
    <col min="6" max="7" width="10.1796875" customWidth="1"/>
    <col min="8" max="8" width="15.81640625" customWidth="1"/>
    <col min="10" max="10" width="19.90625" style="18" bestFit="1" customWidth="1"/>
  </cols>
  <sheetData>
    <row r="1" spans="1:10" x14ac:dyDescent="0.35">
      <c r="A1" t="s">
        <v>0</v>
      </c>
      <c r="B1" t="s">
        <v>1</v>
      </c>
      <c r="C1" t="s">
        <v>2</v>
      </c>
      <c r="D1" t="s">
        <v>3</v>
      </c>
      <c r="E1" t="s">
        <v>4</v>
      </c>
      <c r="F1" t="s">
        <v>5</v>
      </c>
      <c r="G1" t="s">
        <v>6</v>
      </c>
      <c r="H1" t="s">
        <v>7</v>
      </c>
      <c r="I1" t="s">
        <v>8</v>
      </c>
      <c r="J1" s="18" t="s">
        <v>120</v>
      </c>
    </row>
    <row r="2" spans="1:10" x14ac:dyDescent="0.35">
      <c r="A2" t="s">
        <v>9</v>
      </c>
      <c r="B2" t="s">
        <v>10</v>
      </c>
      <c r="C2" t="s">
        <v>11</v>
      </c>
      <c r="D2" t="s">
        <v>12</v>
      </c>
      <c r="E2">
        <v>1036.0899999999999</v>
      </c>
      <c r="F2">
        <v>4</v>
      </c>
      <c r="G2">
        <v>0.2</v>
      </c>
      <c r="H2" s="1">
        <v>45392</v>
      </c>
      <c r="I2">
        <v>331.55</v>
      </c>
      <c r="J2" s="18">
        <f t="shared" ref="J2:J33" ca="1" si="0">NOW()</f>
        <v>46318.605158680555</v>
      </c>
    </row>
    <row r="3" spans="1:10" x14ac:dyDescent="0.35">
      <c r="A3" t="s">
        <v>13</v>
      </c>
      <c r="B3" t="s">
        <v>14</v>
      </c>
      <c r="C3" t="s">
        <v>11</v>
      </c>
      <c r="D3" t="s">
        <v>15</v>
      </c>
      <c r="E3">
        <v>1101.28</v>
      </c>
      <c r="F3">
        <v>3</v>
      </c>
      <c r="G3">
        <v>0.2</v>
      </c>
      <c r="H3" s="1">
        <v>45393</v>
      </c>
      <c r="I3">
        <v>440.51</v>
      </c>
      <c r="J3" s="18">
        <f t="shared" ca="1" si="0"/>
        <v>46318.605158680555</v>
      </c>
    </row>
    <row r="4" spans="1:10" x14ac:dyDescent="0.35">
      <c r="A4" t="s">
        <v>16</v>
      </c>
      <c r="B4" t="s">
        <v>17</v>
      </c>
      <c r="C4" t="s">
        <v>18</v>
      </c>
      <c r="D4" t="s">
        <v>12</v>
      </c>
      <c r="E4">
        <v>713.34</v>
      </c>
      <c r="F4">
        <v>17</v>
      </c>
      <c r="G4">
        <v>0</v>
      </c>
      <c r="H4" s="1">
        <v>45396</v>
      </c>
      <c r="I4">
        <v>285.33999999999997</v>
      </c>
      <c r="J4" s="18">
        <f t="shared" ca="1" si="0"/>
        <v>46318.605158680555</v>
      </c>
    </row>
    <row r="5" spans="1:10" x14ac:dyDescent="0.35">
      <c r="A5" t="s">
        <v>19</v>
      </c>
      <c r="B5" t="s">
        <v>14</v>
      </c>
      <c r="C5" t="s">
        <v>20</v>
      </c>
      <c r="D5" t="s">
        <v>21</v>
      </c>
      <c r="E5">
        <v>760.93</v>
      </c>
      <c r="F5">
        <v>4</v>
      </c>
      <c r="G5">
        <v>0.15</v>
      </c>
      <c r="H5" s="1">
        <v>45396</v>
      </c>
      <c r="I5">
        <v>161.69999999999999</v>
      </c>
      <c r="J5" s="18">
        <f t="shared" ca="1" si="0"/>
        <v>46318.605158680555</v>
      </c>
    </row>
    <row r="6" spans="1:10" x14ac:dyDescent="0.35">
      <c r="A6" t="s">
        <v>22</v>
      </c>
      <c r="B6" t="s">
        <v>23</v>
      </c>
      <c r="C6" t="s">
        <v>24</v>
      </c>
      <c r="D6" t="s">
        <v>12</v>
      </c>
      <c r="E6">
        <v>847</v>
      </c>
      <c r="F6">
        <v>12</v>
      </c>
      <c r="G6">
        <v>0.2</v>
      </c>
      <c r="H6" s="1">
        <v>45397</v>
      </c>
      <c r="I6">
        <v>271.04000000000002</v>
      </c>
      <c r="J6" s="18">
        <f t="shared" ca="1" si="0"/>
        <v>46318.605158680555</v>
      </c>
    </row>
    <row r="7" spans="1:10" x14ac:dyDescent="0.35">
      <c r="A7" t="s">
        <v>25</v>
      </c>
      <c r="B7" t="s">
        <v>26</v>
      </c>
      <c r="C7" t="s">
        <v>24</v>
      </c>
      <c r="D7" t="s">
        <v>27</v>
      </c>
      <c r="E7">
        <v>965.64</v>
      </c>
      <c r="F7">
        <v>8</v>
      </c>
      <c r="G7">
        <v>0.1</v>
      </c>
      <c r="H7" s="1">
        <v>45398</v>
      </c>
      <c r="I7">
        <v>304.18</v>
      </c>
      <c r="J7" s="18">
        <f t="shared" ca="1" si="0"/>
        <v>46318.605158680555</v>
      </c>
    </row>
    <row r="8" spans="1:10" x14ac:dyDescent="0.35">
      <c r="A8" t="s">
        <v>28</v>
      </c>
      <c r="B8" t="s">
        <v>29</v>
      </c>
      <c r="C8" t="s">
        <v>11</v>
      </c>
      <c r="D8" t="s">
        <v>21</v>
      </c>
      <c r="E8">
        <v>1317.53</v>
      </c>
      <c r="F8">
        <v>12</v>
      </c>
      <c r="G8">
        <v>0.05</v>
      </c>
      <c r="H8" s="1">
        <v>45398</v>
      </c>
      <c r="I8">
        <v>312.91000000000003</v>
      </c>
      <c r="J8" s="18">
        <f t="shared" ca="1" si="0"/>
        <v>46318.605158680555</v>
      </c>
    </row>
    <row r="9" spans="1:10" x14ac:dyDescent="0.35">
      <c r="A9" t="s">
        <v>30</v>
      </c>
      <c r="B9" t="s">
        <v>31</v>
      </c>
      <c r="C9" t="s">
        <v>18</v>
      </c>
      <c r="D9" t="s">
        <v>27</v>
      </c>
      <c r="E9">
        <v>1074.47</v>
      </c>
      <c r="F9">
        <v>6</v>
      </c>
      <c r="G9">
        <v>0.2</v>
      </c>
      <c r="H9" s="1">
        <v>45401</v>
      </c>
      <c r="I9">
        <v>300.85000000000002</v>
      </c>
      <c r="J9" s="18">
        <f t="shared" ca="1" si="0"/>
        <v>46318.605158680555</v>
      </c>
    </row>
    <row r="10" spans="1:10" x14ac:dyDescent="0.35">
      <c r="A10" t="s">
        <v>32</v>
      </c>
      <c r="B10" t="s">
        <v>33</v>
      </c>
      <c r="C10" t="s">
        <v>34</v>
      </c>
      <c r="D10" t="s">
        <v>12</v>
      </c>
      <c r="E10">
        <v>501.54</v>
      </c>
      <c r="F10">
        <v>11</v>
      </c>
      <c r="G10">
        <v>0.05</v>
      </c>
      <c r="H10" s="1">
        <v>45401</v>
      </c>
      <c r="I10">
        <v>190.59</v>
      </c>
      <c r="J10" s="18">
        <f t="shared" ca="1" si="0"/>
        <v>46318.605158680555</v>
      </c>
    </row>
    <row r="11" spans="1:10" x14ac:dyDescent="0.35">
      <c r="A11" t="s">
        <v>35</v>
      </c>
      <c r="B11" t="s">
        <v>36</v>
      </c>
      <c r="C11" t="s">
        <v>34</v>
      </c>
      <c r="D11" t="s">
        <v>15</v>
      </c>
      <c r="E11">
        <v>737.31</v>
      </c>
      <c r="F11">
        <v>2</v>
      </c>
      <c r="G11">
        <v>0.05</v>
      </c>
      <c r="H11" s="1">
        <v>45401</v>
      </c>
      <c r="I11">
        <v>350.22</v>
      </c>
      <c r="J11" s="18">
        <f t="shared" ca="1" si="0"/>
        <v>46318.605158680555</v>
      </c>
    </row>
    <row r="12" spans="1:10" x14ac:dyDescent="0.35">
      <c r="A12" t="s">
        <v>37</v>
      </c>
      <c r="B12" t="s">
        <v>38</v>
      </c>
      <c r="C12" t="s">
        <v>11</v>
      </c>
      <c r="D12" t="s">
        <v>39</v>
      </c>
      <c r="E12">
        <v>1572.82</v>
      </c>
      <c r="F12">
        <v>6</v>
      </c>
      <c r="G12">
        <v>0.05</v>
      </c>
      <c r="H12" s="1">
        <v>45402</v>
      </c>
      <c r="I12">
        <v>672.38</v>
      </c>
      <c r="J12" s="18">
        <f t="shared" ca="1" si="0"/>
        <v>46318.605158680555</v>
      </c>
    </row>
    <row r="13" spans="1:10" x14ac:dyDescent="0.35">
      <c r="A13" t="s">
        <v>37</v>
      </c>
      <c r="B13" t="s">
        <v>36</v>
      </c>
      <c r="C13" t="s">
        <v>34</v>
      </c>
      <c r="D13" t="s">
        <v>12</v>
      </c>
      <c r="E13">
        <v>1343.13</v>
      </c>
      <c r="F13">
        <v>14</v>
      </c>
      <c r="G13">
        <v>0.15</v>
      </c>
      <c r="H13" s="1">
        <v>45404</v>
      </c>
      <c r="I13">
        <v>456.66</v>
      </c>
      <c r="J13" s="18">
        <f t="shared" ca="1" si="0"/>
        <v>46318.605158680555</v>
      </c>
    </row>
    <row r="14" spans="1:10" x14ac:dyDescent="0.35">
      <c r="A14" t="s">
        <v>25</v>
      </c>
      <c r="B14" t="s">
        <v>26</v>
      </c>
      <c r="C14" t="s">
        <v>34</v>
      </c>
      <c r="D14" t="s">
        <v>12</v>
      </c>
      <c r="E14">
        <v>1191.58</v>
      </c>
      <c r="F14">
        <v>14</v>
      </c>
      <c r="G14">
        <v>0.05</v>
      </c>
      <c r="H14" s="1">
        <v>45406</v>
      </c>
      <c r="I14">
        <v>452.8</v>
      </c>
      <c r="J14" s="18">
        <f t="shared" ca="1" si="0"/>
        <v>46318.605158680555</v>
      </c>
    </row>
    <row r="15" spans="1:10" x14ac:dyDescent="0.35">
      <c r="A15" t="s">
        <v>40</v>
      </c>
      <c r="B15" t="s">
        <v>14</v>
      </c>
      <c r="C15" t="s">
        <v>11</v>
      </c>
      <c r="D15" t="s">
        <v>27</v>
      </c>
      <c r="E15">
        <v>822.28</v>
      </c>
      <c r="F15">
        <v>7</v>
      </c>
      <c r="G15">
        <v>0.05</v>
      </c>
      <c r="H15" s="1">
        <v>45406</v>
      </c>
      <c r="I15">
        <v>273.41000000000003</v>
      </c>
      <c r="J15" s="18">
        <f t="shared" ca="1" si="0"/>
        <v>46318.605158680555</v>
      </c>
    </row>
    <row r="16" spans="1:10" x14ac:dyDescent="0.35">
      <c r="A16" t="s">
        <v>41</v>
      </c>
      <c r="B16" t="s">
        <v>42</v>
      </c>
      <c r="C16" t="s">
        <v>24</v>
      </c>
      <c r="D16" t="s">
        <v>27</v>
      </c>
      <c r="E16">
        <v>521.66999999999996</v>
      </c>
      <c r="F16">
        <v>15</v>
      </c>
      <c r="G16">
        <v>0.15</v>
      </c>
      <c r="H16" s="1">
        <v>45409</v>
      </c>
      <c r="I16">
        <v>155.19999999999999</v>
      </c>
      <c r="J16" s="18">
        <f t="shared" ca="1" si="0"/>
        <v>46318.605158680555</v>
      </c>
    </row>
    <row r="17" spans="1:10" x14ac:dyDescent="0.35">
      <c r="A17" t="s">
        <v>19</v>
      </c>
      <c r="B17" t="s">
        <v>43</v>
      </c>
      <c r="C17" t="s">
        <v>20</v>
      </c>
      <c r="D17" t="s">
        <v>21</v>
      </c>
      <c r="E17">
        <v>1502.93</v>
      </c>
      <c r="F17">
        <v>14</v>
      </c>
      <c r="G17">
        <v>0.2</v>
      </c>
      <c r="H17" s="1">
        <v>45410</v>
      </c>
      <c r="I17">
        <v>300.58999999999997</v>
      </c>
      <c r="J17" s="18">
        <f t="shared" ca="1" si="0"/>
        <v>46318.605158680555</v>
      </c>
    </row>
    <row r="18" spans="1:10" x14ac:dyDescent="0.35">
      <c r="A18" t="s">
        <v>44</v>
      </c>
      <c r="B18" t="s">
        <v>14</v>
      </c>
      <c r="C18" t="s">
        <v>20</v>
      </c>
      <c r="D18" t="s">
        <v>12</v>
      </c>
      <c r="E18">
        <v>877.58</v>
      </c>
      <c r="F18">
        <v>10</v>
      </c>
      <c r="G18">
        <v>0.15</v>
      </c>
      <c r="H18" s="1">
        <v>45411</v>
      </c>
      <c r="I18">
        <v>298.38</v>
      </c>
      <c r="J18" s="18">
        <f t="shared" ca="1" si="0"/>
        <v>46318.605158680555</v>
      </c>
    </row>
    <row r="19" spans="1:10" x14ac:dyDescent="0.35">
      <c r="A19" t="s">
        <v>28</v>
      </c>
      <c r="B19" t="s">
        <v>45</v>
      </c>
      <c r="C19" t="s">
        <v>11</v>
      </c>
      <c r="D19" t="s">
        <v>12</v>
      </c>
      <c r="E19">
        <v>636.70000000000005</v>
      </c>
      <c r="F19">
        <v>4</v>
      </c>
      <c r="G19">
        <v>0.2</v>
      </c>
      <c r="H19" s="1">
        <v>45411</v>
      </c>
      <c r="I19">
        <v>203.74</v>
      </c>
      <c r="J19" s="18">
        <f t="shared" ca="1" si="0"/>
        <v>46318.605158680555</v>
      </c>
    </row>
    <row r="20" spans="1:10" x14ac:dyDescent="0.35">
      <c r="A20" t="s">
        <v>46</v>
      </c>
      <c r="B20" t="s">
        <v>47</v>
      </c>
      <c r="C20" t="s">
        <v>11</v>
      </c>
      <c r="D20" t="s">
        <v>12</v>
      </c>
      <c r="E20">
        <v>1506.14</v>
      </c>
      <c r="F20">
        <v>13</v>
      </c>
      <c r="G20">
        <v>0.2</v>
      </c>
      <c r="H20" s="1">
        <v>45412</v>
      </c>
      <c r="I20">
        <v>481.96</v>
      </c>
      <c r="J20" s="18">
        <f t="shared" ca="1" si="0"/>
        <v>46318.605158680555</v>
      </c>
    </row>
    <row r="21" spans="1:10" x14ac:dyDescent="0.35">
      <c r="A21" t="s">
        <v>30</v>
      </c>
      <c r="B21" t="s">
        <v>31</v>
      </c>
      <c r="C21" t="s">
        <v>34</v>
      </c>
      <c r="D21" t="s">
        <v>21</v>
      </c>
      <c r="E21">
        <v>645.02</v>
      </c>
      <c r="F21">
        <v>4</v>
      </c>
      <c r="G21">
        <v>0</v>
      </c>
      <c r="H21" s="1">
        <v>45414</v>
      </c>
      <c r="I21">
        <v>161.26</v>
      </c>
      <c r="J21" s="18">
        <f t="shared" ca="1" si="0"/>
        <v>46318.605158680555</v>
      </c>
    </row>
    <row r="22" spans="1:10" x14ac:dyDescent="0.35">
      <c r="A22" t="s">
        <v>25</v>
      </c>
      <c r="B22" t="s">
        <v>48</v>
      </c>
      <c r="C22" t="s">
        <v>20</v>
      </c>
      <c r="D22" t="s">
        <v>15</v>
      </c>
      <c r="E22">
        <v>953.3</v>
      </c>
      <c r="F22">
        <v>11</v>
      </c>
      <c r="G22">
        <v>0</v>
      </c>
      <c r="H22" s="1">
        <v>45415</v>
      </c>
      <c r="I22">
        <v>476.65</v>
      </c>
      <c r="J22" s="18">
        <f t="shared" ca="1" si="0"/>
        <v>46318.605158680555</v>
      </c>
    </row>
    <row r="23" spans="1:10" x14ac:dyDescent="0.35">
      <c r="A23" t="s">
        <v>49</v>
      </c>
      <c r="B23" t="s">
        <v>14</v>
      </c>
      <c r="C23" t="s">
        <v>24</v>
      </c>
      <c r="D23" t="s">
        <v>21</v>
      </c>
      <c r="E23">
        <v>388.56</v>
      </c>
      <c r="F23">
        <v>14</v>
      </c>
      <c r="G23">
        <v>0.15</v>
      </c>
      <c r="H23" s="1">
        <v>45416</v>
      </c>
      <c r="I23">
        <v>82.57</v>
      </c>
      <c r="J23" s="18">
        <f t="shared" ca="1" si="0"/>
        <v>46318.605158680555</v>
      </c>
    </row>
    <row r="24" spans="1:10" x14ac:dyDescent="0.35">
      <c r="A24" t="s">
        <v>9</v>
      </c>
      <c r="B24" t="s">
        <v>31</v>
      </c>
      <c r="C24" t="s">
        <v>11</v>
      </c>
      <c r="D24" t="s">
        <v>12</v>
      </c>
      <c r="E24">
        <v>743.17</v>
      </c>
      <c r="F24">
        <v>9</v>
      </c>
      <c r="G24">
        <v>0</v>
      </c>
      <c r="H24" s="1">
        <v>45416</v>
      </c>
      <c r="I24">
        <v>297.27</v>
      </c>
      <c r="J24" s="18">
        <f t="shared" ca="1" si="0"/>
        <v>46318.605158680555</v>
      </c>
    </row>
    <row r="25" spans="1:10" x14ac:dyDescent="0.35">
      <c r="A25" t="s">
        <v>40</v>
      </c>
      <c r="B25" t="s">
        <v>31</v>
      </c>
      <c r="C25" t="s">
        <v>34</v>
      </c>
      <c r="D25" t="s">
        <v>21</v>
      </c>
      <c r="E25">
        <v>706.37</v>
      </c>
      <c r="F25">
        <v>6</v>
      </c>
      <c r="G25">
        <v>0</v>
      </c>
      <c r="H25" s="1">
        <v>45416</v>
      </c>
      <c r="I25">
        <v>176.59</v>
      </c>
      <c r="J25" s="18">
        <f t="shared" ca="1" si="0"/>
        <v>46318.605158680555</v>
      </c>
    </row>
    <row r="26" spans="1:10" x14ac:dyDescent="0.35">
      <c r="A26" t="s">
        <v>13</v>
      </c>
      <c r="B26" t="s">
        <v>31</v>
      </c>
      <c r="C26" t="s">
        <v>34</v>
      </c>
      <c r="D26" t="s">
        <v>39</v>
      </c>
      <c r="E26">
        <v>925.31</v>
      </c>
      <c r="F26">
        <v>8</v>
      </c>
      <c r="G26">
        <v>0.1</v>
      </c>
      <c r="H26" s="1">
        <v>45418</v>
      </c>
      <c r="I26">
        <v>374.75</v>
      </c>
      <c r="J26" s="18">
        <f t="shared" ca="1" si="0"/>
        <v>46318.605158680555</v>
      </c>
    </row>
    <row r="27" spans="1:10" x14ac:dyDescent="0.35">
      <c r="A27" t="s">
        <v>35</v>
      </c>
      <c r="B27" t="s">
        <v>50</v>
      </c>
      <c r="C27" t="s">
        <v>20</v>
      </c>
      <c r="D27" t="s">
        <v>21</v>
      </c>
      <c r="E27">
        <v>1173.1199999999999</v>
      </c>
      <c r="F27">
        <v>18</v>
      </c>
      <c r="G27">
        <v>0</v>
      </c>
      <c r="H27" s="1">
        <v>45418</v>
      </c>
      <c r="I27">
        <v>293.27999999999997</v>
      </c>
      <c r="J27" s="18">
        <f t="shared" ca="1" si="0"/>
        <v>46318.605158680555</v>
      </c>
    </row>
    <row r="28" spans="1:10" x14ac:dyDescent="0.35">
      <c r="A28" t="s">
        <v>22</v>
      </c>
      <c r="B28" t="s">
        <v>51</v>
      </c>
      <c r="C28" t="s">
        <v>24</v>
      </c>
      <c r="D28" t="s">
        <v>27</v>
      </c>
      <c r="E28">
        <v>675.54</v>
      </c>
      <c r="F28">
        <v>17</v>
      </c>
      <c r="G28">
        <v>0</v>
      </c>
      <c r="H28" s="1">
        <v>45420</v>
      </c>
      <c r="I28">
        <v>236.44</v>
      </c>
      <c r="J28" s="18">
        <f t="shared" ca="1" si="0"/>
        <v>46318.605158680555</v>
      </c>
    </row>
    <row r="29" spans="1:10" x14ac:dyDescent="0.35">
      <c r="A29" t="s">
        <v>25</v>
      </c>
      <c r="B29" t="s">
        <v>14</v>
      </c>
      <c r="C29" t="s">
        <v>34</v>
      </c>
      <c r="D29" t="s">
        <v>12</v>
      </c>
      <c r="E29">
        <v>939.09</v>
      </c>
      <c r="F29">
        <v>2</v>
      </c>
      <c r="G29">
        <v>0.05</v>
      </c>
      <c r="H29" s="1">
        <v>45422</v>
      </c>
      <c r="I29">
        <v>356.85</v>
      </c>
      <c r="J29" s="18">
        <f t="shared" ca="1" si="0"/>
        <v>46318.605158680555</v>
      </c>
    </row>
    <row r="30" spans="1:10" x14ac:dyDescent="0.35">
      <c r="A30" t="s">
        <v>52</v>
      </c>
      <c r="B30" t="s">
        <v>53</v>
      </c>
      <c r="C30" t="s">
        <v>18</v>
      </c>
      <c r="D30" t="s">
        <v>39</v>
      </c>
      <c r="E30">
        <v>983.34</v>
      </c>
      <c r="F30">
        <v>19</v>
      </c>
      <c r="G30">
        <v>0.1</v>
      </c>
      <c r="H30" s="1">
        <v>45426</v>
      </c>
      <c r="I30">
        <v>398.25</v>
      </c>
      <c r="J30" s="18">
        <f t="shared" ca="1" si="0"/>
        <v>46318.605158680555</v>
      </c>
    </row>
    <row r="31" spans="1:10" x14ac:dyDescent="0.35">
      <c r="A31" t="s">
        <v>52</v>
      </c>
      <c r="B31" t="s">
        <v>23</v>
      </c>
      <c r="C31" t="s">
        <v>20</v>
      </c>
      <c r="D31" t="s">
        <v>21</v>
      </c>
      <c r="E31">
        <v>801.21</v>
      </c>
      <c r="F31">
        <v>3</v>
      </c>
      <c r="G31">
        <v>0.2</v>
      </c>
      <c r="H31" s="1">
        <v>45426</v>
      </c>
      <c r="I31">
        <v>160.24</v>
      </c>
      <c r="J31" s="18">
        <f t="shared" ca="1" si="0"/>
        <v>46318.605158680555</v>
      </c>
    </row>
    <row r="32" spans="1:10" x14ac:dyDescent="0.35">
      <c r="A32" t="s">
        <v>54</v>
      </c>
      <c r="B32" t="s">
        <v>55</v>
      </c>
      <c r="C32" t="s">
        <v>24</v>
      </c>
      <c r="D32" t="s">
        <v>21</v>
      </c>
      <c r="E32">
        <v>1450.71</v>
      </c>
      <c r="F32">
        <v>5</v>
      </c>
      <c r="G32">
        <v>0.1</v>
      </c>
      <c r="H32" s="1">
        <v>45427</v>
      </c>
      <c r="I32">
        <v>326.41000000000003</v>
      </c>
      <c r="J32" s="18">
        <f t="shared" ca="1" si="0"/>
        <v>46318.605158680555</v>
      </c>
    </row>
    <row r="33" spans="1:10" x14ac:dyDescent="0.35">
      <c r="A33" t="s">
        <v>49</v>
      </c>
      <c r="B33" t="s">
        <v>56</v>
      </c>
      <c r="C33" t="s">
        <v>34</v>
      </c>
      <c r="D33" t="s">
        <v>12</v>
      </c>
      <c r="E33">
        <v>1023.21</v>
      </c>
      <c r="F33">
        <v>18</v>
      </c>
      <c r="G33">
        <v>0.05</v>
      </c>
      <c r="H33" s="1">
        <v>45428</v>
      </c>
      <c r="I33">
        <v>388.82</v>
      </c>
      <c r="J33" s="18">
        <f t="shared" ca="1" si="0"/>
        <v>46318.605158680555</v>
      </c>
    </row>
    <row r="34" spans="1:10" x14ac:dyDescent="0.35">
      <c r="A34" t="s">
        <v>28</v>
      </c>
      <c r="B34" t="s">
        <v>47</v>
      </c>
      <c r="C34" t="s">
        <v>11</v>
      </c>
      <c r="D34" t="s">
        <v>27</v>
      </c>
      <c r="E34">
        <v>853.72</v>
      </c>
      <c r="F34">
        <v>5</v>
      </c>
      <c r="G34">
        <v>0.15</v>
      </c>
      <c r="H34" s="1">
        <v>45428</v>
      </c>
      <c r="I34">
        <v>253.98</v>
      </c>
      <c r="J34" s="18">
        <f t="shared" ref="J34:J65" ca="1" si="1">NOW()</f>
        <v>46318.605158680555</v>
      </c>
    </row>
    <row r="35" spans="1:10" x14ac:dyDescent="0.35">
      <c r="A35" t="s">
        <v>57</v>
      </c>
      <c r="B35" t="s">
        <v>43</v>
      </c>
      <c r="C35" t="s">
        <v>20</v>
      </c>
      <c r="D35" t="s">
        <v>21</v>
      </c>
      <c r="E35">
        <v>967.89</v>
      </c>
      <c r="F35">
        <v>10</v>
      </c>
      <c r="G35">
        <v>0.1</v>
      </c>
      <c r="H35" s="1">
        <v>45429</v>
      </c>
      <c r="I35">
        <v>217.78</v>
      </c>
      <c r="J35" s="18">
        <f t="shared" ca="1" si="1"/>
        <v>46318.605158680555</v>
      </c>
    </row>
    <row r="36" spans="1:10" x14ac:dyDescent="0.35">
      <c r="A36" t="s">
        <v>58</v>
      </c>
      <c r="B36" t="s">
        <v>53</v>
      </c>
      <c r="C36" t="s">
        <v>24</v>
      </c>
      <c r="D36" t="s">
        <v>39</v>
      </c>
      <c r="E36">
        <v>1200.9000000000001</v>
      </c>
      <c r="F36">
        <v>14</v>
      </c>
      <c r="G36">
        <v>0.05</v>
      </c>
      <c r="H36" s="1">
        <v>45429</v>
      </c>
      <c r="I36">
        <v>513.38</v>
      </c>
      <c r="J36" s="18">
        <f t="shared" ca="1" si="1"/>
        <v>46318.605158680555</v>
      </c>
    </row>
    <row r="37" spans="1:10" x14ac:dyDescent="0.35">
      <c r="A37" t="s">
        <v>13</v>
      </c>
      <c r="B37" t="s">
        <v>26</v>
      </c>
      <c r="C37" t="s">
        <v>11</v>
      </c>
      <c r="D37" t="s">
        <v>12</v>
      </c>
      <c r="E37">
        <v>472.38</v>
      </c>
      <c r="F37">
        <v>12</v>
      </c>
      <c r="G37">
        <v>0.2</v>
      </c>
      <c r="H37" s="1">
        <v>45429</v>
      </c>
      <c r="I37">
        <v>151.16</v>
      </c>
      <c r="J37" s="18">
        <f t="shared" ca="1" si="1"/>
        <v>46318.605158680555</v>
      </c>
    </row>
    <row r="38" spans="1:10" x14ac:dyDescent="0.35">
      <c r="A38" t="s">
        <v>9</v>
      </c>
      <c r="B38" t="s">
        <v>55</v>
      </c>
      <c r="C38" t="s">
        <v>18</v>
      </c>
      <c r="D38" t="s">
        <v>39</v>
      </c>
      <c r="E38">
        <v>840.92</v>
      </c>
      <c r="F38">
        <v>9</v>
      </c>
      <c r="G38">
        <v>0.05</v>
      </c>
      <c r="H38" s="1">
        <v>45429</v>
      </c>
      <c r="I38">
        <v>359.49</v>
      </c>
      <c r="J38" s="18">
        <f t="shared" ca="1" si="1"/>
        <v>46318.605158680555</v>
      </c>
    </row>
    <row r="39" spans="1:10" x14ac:dyDescent="0.35">
      <c r="A39" t="s">
        <v>52</v>
      </c>
      <c r="B39" t="s">
        <v>48</v>
      </c>
      <c r="C39" t="s">
        <v>34</v>
      </c>
      <c r="D39" t="s">
        <v>27</v>
      </c>
      <c r="E39">
        <v>1410.06</v>
      </c>
      <c r="F39">
        <v>11</v>
      </c>
      <c r="G39">
        <v>0.05</v>
      </c>
      <c r="H39" s="1">
        <v>45434</v>
      </c>
      <c r="I39">
        <v>468.84</v>
      </c>
      <c r="J39" s="18">
        <f t="shared" ca="1" si="1"/>
        <v>46318.605158680555</v>
      </c>
    </row>
    <row r="40" spans="1:10" x14ac:dyDescent="0.35">
      <c r="A40" t="s">
        <v>44</v>
      </c>
      <c r="B40" t="s">
        <v>59</v>
      </c>
      <c r="C40" t="s">
        <v>34</v>
      </c>
      <c r="D40" t="s">
        <v>27</v>
      </c>
      <c r="E40">
        <v>773.09</v>
      </c>
      <c r="F40">
        <v>13</v>
      </c>
      <c r="G40">
        <v>0.15</v>
      </c>
      <c r="H40" s="1">
        <v>45434</v>
      </c>
      <c r="I40">
        <v>229.99</v>
      </c>
      <c r="J40" s="18">
        <f t="shared" ca="1" si="1"/>
        <v>46318.605158680555</v>
      </c>
    </row>
    <row r="41" spans="1:10" x14ac:dyDescent="0.35">
      <c r="A41" t="s">
        <v>60</v>
      </c>
      <c r="B41" t="s">
        <v>61</v>
      </c>
      <c r="C41" t="s">
        <v>18</v>
      </c>
      <c r="D41" t="s">
        <v>12</v>
      </c>
      <c r="E41">
        <v>580.42999999999995</v>
      </c>
      <c r="F41">
        <v>19</v>
      </c>
      <c r="G41">
        <v>0.15</v>
      </c>
      <c r="H41" s="1">
        <v>45435</v>
      </c>
      <c r="I41">
        <v>197.35</v>
      </c>
      <c r="J41" s="18">
        <f t="shared" ca="1" si="1"/>
        <v>46318.605158680555</v>
      </c>
    </row>
    <row r="42" spans="1:10" x14ac:dyDescent="0.35">
      <c r="A42" t="s">
        <v>19</v>
      </c>
      <c r="B42" t="s">
        <v>42</v>
      </c>
      <c r="C42" t="s">
        <v>20</v>
      </c>
      <c r="D42" t="s">
        <v>12</v>
      </c>
      <c r="E42">
        <v>1151.21</v>
      </c>
      <c r="F42">
        <v>15</v>
      </c>
      <c r="G42">
        <v>0.1</v>
      </c>
      <c r="H42" s="1">
        <v>45445</v>
      </c>
      <c r="I42">
        <v>414.44</v>
      </c>
      <c r="J42" s="18">
        <f t="shared" ca="1" si="1"/>
        <v>46318.605158680555</v>
      </c>
    </row>
    <row r="43" spans="1:10" x14ac:dyDescent="0.35">
      <c r="A43" t="s">
        <v>52</v>
      </c>
      <c r="B43" t="s">
        <v>23</v>
      </c>
      <c r="C43" t="s">
        <v>34</v>
      </c>
      <c r="D43" t="s">
        <v>39</v>
      </c>
      <c r="E43">
        <v>1025.98</v>
      </c>
      <c r="F43">
        <v>5</v>
      </c>
      <c r="G43">
        <v>0.2</v>
      </c>
      <c r="H43" s="1">
        <v>45447</v>
      </c>
      <c r="I43">
        <v>369.35</v>
      </c>
      <c r="J43" s="18">
        <f t="shared" ca="1" si="1"/>
        <v>46318.605158680555</v>
      </c>
    </row>
    <row r="44" spans="1:10" x14ac:dyDescent="0.35">
      <c r="A44" t="s">
        <v>40</v>
      </c>
      <c r="B44" t="s">
        <v>56</v>
      </c>
      <c r="C44" t="s">
        <v>18</v>
      </c>
      <c r="D44" t="s">
        <v>39</v>
      </c>
      <c r="E44">
        <v>556.41999999999996</v>
      </c>
      <c r="F44">
        <v>11</v>
      </c>
      <c r="G44">
        <v>0.15</v>
      </c>
      <c r="H44" s="1">
        <v>45447</v>
      </c>
      <c r="I44">
        <v>212.83</v>
      </c>
      <c r="J44" s="18">
        <f t="shared" ca="1" si="1"/>
        <v>46318.605158680555</v>
      </c>
    </row>
    <row r="45" spans="1:10" x14ac:dyDescent="0.35">
      <c r="A45" t="s">
        <v>57</v>
      </c>
      <c r="B45" t="s">
        <v>23</v>
      </c>
      <c r="C45" t="s">
        <v>34</v>
      </c>
      <c r="D45" t="s">
        <v>12</v>
      </c>
      <c r="E45">
        <v>840.85</v>
      </c>
      <c r="F45">
        <v>19</v>
      </c>
      <c r="G45">
        <v>0.1</v>
      </c>
      <c r="H45" s="1">
        <v>45448</v>
      </c>
      <c r="I45">
        <v>302.70999999999998</v>
      </c>
      <c r="J45" s="18">
        <f t="shared" ca="1" si="1"/>
        <v>46318.605158680555</v>
      </c>
    </row>
    <row r="46" spans="1:10" x14ac:dyDescent="0.35">
      <c r="A46" t="s">
        <v>30</v>
      </c>
      <c r="B46" t="s">
        <v>61</v>
      </c>
      <c r="C46" t="s">
        <v>24</v>
      </c>
      <c r="D46" t="s">
        <v>27</v>
      </c>
      <c r="E46">
        <v>1227.25</v>
      </c>
      <c r="F46">
        <v>12</v>
      </c>
      <c r="G46">
        <v>0.15</v>
      </c>
      <c r="H46" s="1">
        <v>45448</v>
      </c>
      <c r="I46">
        <v>365.11</v>
      </c>
      <c r="J46" s="18">
        <f t="shared" ca="1" si="1"/>
        <v>46318.605158680555</v>
      </c>
    </row>
    <row r="47" spans="1:10" x14ac:dyDescent="0.35">
      <c r="A47" t="s">
        <v>16</v>
      </c>
      <c r="B47" t="s">
        <v>62</v>
      </c>
      <c r="C47" t="s">
        <v>34</v>
      </c>
      <c r="D47" t="s">
        <v>21</v>
      </c>
      <c r="E47">
        <v>856.7</v>
      </c>
      <c r="F47">
        <v>2</v>
      </c>
      <c r="G47">
        <v>0</v>
      </c>
      <c r="H47" s="1">
        <v>45449</v>
      </c>
      <c r="I47">
        <v>214.18</v>
      </c>
      <c r="J47" s="18">
        <f t="shared" ca="1" si="1"/>
        <v>46318.605158680555</v>
      </c>
    </row>
    <row r="48" spans="1:10" x14ac:dyDescent="0.35">
      <c r="A48" t="s">
        <v>54</v>
      </c>
      <c r="B48" t="s">
        <v>56</v>
      </c>
      <c r="C48" t="s">
        <v>34</v>
      </c>
      <c r="D48" t="s">
        <v>39</v>
      </c>
      <c r="E48">
        <v>1225.42</v>
      </c>
      <c r="F48">
        <v>8</v>
      </c>
      <c r="G48">
        <v>0.15</v>
      </c>
      <c r="H48" s="1">
        <v>45449</v>
      </c>
      <c r="I48">
        <v>468.72</v>
      </c>
      <c r="J48" s="18">
        <f t="shared" ca="1" si="1"/>
        <v>46318.605158680555</v>
      </c>
    </row>
    <row r="49" spans="1:10" x14ac:dyDescent="0.35">
      <c r="A49" t="s">
        <v>63</v>
      </c>
      <c r="B49" t="s">
        <v>31</v>
      </c>
      <c r="C49" t="s">
        <v>24</v>
      </c>
      <c r="D49" t="s">
        <v>39</v>
      </c>
      <c r="E49">
        <v>1001.57</v>
      </c>
      <c r="F49">
        <v>12</v>
      </c>
      <c r="G49">
        <v>0</v>
      </c>
      <c r="H49" s="1">
        <v>45450</v>
      </c>
      <c r="I49">
        <v>450.71</v>
      </c>
      <c r="J49" s="18">
        <f t="shared" ca="1" si="1"/>
        <v>46318.605158680555</v>
      </c>
    </row>
    <row r="50" spans="1:10" x14ac:dyDescent="0.35">
      <c r="A50" t="s">
        <v>57</v>
      </c>
      <c r="B50" t="s">
        <v>26</v>
      </c>
      <c r="C50" t="s">
        <v>18</v>
      </c>
      <c r="D50" t="s">
        <v>27</v>
      </c>
      <c r="E50">
        <v>1186.8499999999999</v>
      </c>
      <c r="F50">
        <v>19</v>
      </c>
      <c r="G50">
        <v>0.2</v>
      </c>
      <c r="H50" s="1">
        <v>45451</v>
      </c>
      <c r="I50">
        <v>332.32</v>
      </c>
      <c r="J50" s="18">
        <f t="shared" ca="1" si="1"/>
        <v>46318.605158680555</v>
      </c>
    </row>
    <row r="51" spans="1:10" x14ac:dyDescent="0.35">
      <c r="A51" t="s">
        <v>44</v>
      </c>
      <c r="B51" t="s">
        <v>51</v>
      </c>
      <c r="C51" t="s">
        <v>20</v>
      </c>
      <c r="D51" t="s">
        <v>21</v>
      </c>
      <c r="E51">
        <v>775.45</v>
      </c>
      <c r="F51">
        <v>6</v>
      </c>
      <c r="G51">
        <v>0.1</v>
      </c>
      <c r="H51" s="1">
        <v>45457</v>
      </c>
      <c r="I51">
        <v>174.48</v>
      </c>
      <c r="J51" s="18">
        <f t="shared" ca="1" si="1"/>
        <v>46318.605158680555</v>
      </c>
    </row>
    <row r="52" spans="1:10" x14ac:dyDescent="0.35">
      <c r="A52" t="s">
        <v>25</v>
      </c>
      <c r="B52" t="s">
        <v>33</v>
      </c>
      <c r="C52" t="s">
        <v>20</v>
      </c>
      <c r="D52" t="s">
        <v>21</v>
      </c>
      <c r="E52">
        <v>1021.47</v>
      </c>
      <c r="F52">
        <v>6</v>
      </c>
      <c r="G52">
        <v>0.05</v>
      </c>
      <c r="H52" s="1">
        <v>45461</v>
      </c>
      <c r="I52">
        <v>242.6</v>
      </c>
      <c r="J52" s="18">
        <f t="shared" ca="1" si="1"/>
        <v>46318.605158680555</v>
      </c>
    </row>
    <row r="53" spans="1:10" x14ac:dyDescent="0.35">
      <c r="A53" t="s">
        <v>58</v>
      </c>
      <c r="B53" t="s">
        <v>23</v>
      </c>
      <c r="C53" t="s">
        <v>20</v>
      </c>
      <c r="D53" t="s">
        <v>15</v>
      </c>
      <c r="E53">
        <v>1226.6199999999999</v>
      </c>
      <c r="F53">
        <v>7</v>
      </c>
      <c r="G53">
        <v>0.1</v>
      </c>
      <c r="H53" s="1">
        <v>45463</v>
      </c>
      <c r="I53">
        <v>551.98</v>
      </c>
      <c r="J53" s="18">
        <f t="shared" ca="1" si="1"/>
        <v>46318.605158680555</v>
      </c>
    </row>
    <row r="54" spans="1:10" x14ac:dyDescent="0.35">
      <c r="A54" t="s">
        <v>22</v>
      </c>
      <c r="B54" t="s">
        <v>64</v>
      </c>
      <c r="C54" t="s">
        <v>20</v>
      </c>
      <c r="D54" t="s">
        <v>27</v>
      </c>
      <c r="E54">
        <v>1086.93</v>
      </c>
      <c r="F54">
        <v>2</v>
      </c>
      <c r="G54">
        <v>0</v>
      </c>
      <c r="H54" s="1">
        <v>45464</v>
      </c>
      <c r="I54">
        <v>380.43</v>
      </c>
      <c r="J54" s="18">
        <f t="shared" ca="1" si="1"/>
        <v>46318.605158680555</v>
      </c>
    </row>
    <row r="55" spans="1:10" x14ac:dyDescent="0.35">
      <c r="A55" t="s">
        <v>65</v>
      </c>
      <c r="B55" t="s">
        <v>48</v>
      </c>
      <c r="C55" t="s">
        <v>11</v>
      </c>
      <c r="D55" t="s">
        <v>12</v>
      </c>
      <c r="E55">
        <v>942.9</v>
      </c>
      <c r="F55">
        <v>18</v>
      </c>
      <c r="G55">
        <v>0.1</v>
      </c>
      <c r="H55" s="1">
        <v>45466</v>
      </c>
      <c r="I55">
        <v>339.44</v>
      </c>
      <c r="J55" s="18">
        <f t="shared" ca="1" si="1"/>
        <v>46318.605158680555</v>
      </c>
    </row>
    <row r="56" spans="1:10" x14ac:dyDescent="0.35">
      <c r="A56" t="s">
        <v>32</v>
      </c>
      <c r="B56" t="s">
        <v>38</v>
      </c>
      <c r="C56" t="s">
        <v>24</v>
      </c>
      <c r="D56" t="s">
        <v>21</v>
      </c>
      <c r="E56">
        <v>818.8</v>
      </c>
      <c r="F56">
        <v>15</v>
      </c>
      <c r="G56">
        <v>0.15</v>
      </c>
      <c r="H56" s="1">
        <v>45468</v>
      </c>
      <c r="I56">
        <v>173.99</v>
      </c>
      <c r="J56" s="18">
        <f t="shared" ca="1" si="1"/>
        <v>46318.605158680555</v>
      </c>
    </row>
    <row r="57" spans="1:10" x14ac:dyDescent="0.35">
      <c r="A57" t="s">
        <v>19</v>
      </c>
      <c r="B57" t="s">
        <v>14</v>
      </c>
      <c r="C57" t="s">
        <v>20</v>
      </c>
      <c r="D57" t="s">
        <v>27</v>
      </c>
      <c r="E57">
        <v>919.04</v>
      </c>
      <c r="F57">
        <v>10</v>
      </c>
      <c r="G57">
        <v>0.2</v>
      </c>
      <c r="H57" s="1">
        <v>45468</v>
      </c>
      <c r="I57">
        <v>257.33</v>
      </c>
      <c r="J57" s="18">
        <f t="shared" ca="1" si="1"/>
        <v>46318.605158680555</v>
      </c>
    </row>
    <row r="58" spans="1:10" x14ac:dyDescent="0.35">
      <c r="A58" t="s">
        <v>22</v>
      </c>
      <c r="B58" t="s">
        <v>66</v>
      </c>
      <c r="C58" t="s">
        <v>34</v>
      </c>
      <c r="D58" t="s">
        <v>12</v>
      </c>
      <c r="E58">
        <v>973.26</v>
      </c>
      <c r="F58">
        <v>11</v>
      </c>
      <c r="G58">
        <v>0</v>
      </c>
      <c r="H58" s="1">
        <v>45470</v>
      </c>
      <c r="I58">
        <v>389.3</v>
      </c>
      <c r="J58" s="18">
        <f t="shared" ca="1" si="1"/>
        <v>46318.605158680555</v>
      </c>
    </row>
    <row r="59" spans="1:10" x14ac:dyDescent="0.35">
      <c r="A59" t="s">
        <v>41</v>
      </c>
      <c r="B59" t="s">
        <v>64</v>
      </c>
      <c r="C59" t="s">
        <v>24</v>
      </c>
      <c r="D59" t="s">
        <v>21</v>
      </c>
      <c r="E59">
        <v>741.61</v>
      </c>
      <c r="F59">
        <v>1</v>
      </c>
      <c r="G59">
        <v>0.2</v>
      </c>
      <c r="H59" s="1">
        <v>45471</v>
      </c>
      <c r="I59">
        <v>148.32</v>
      </c>
      <c r="J59" s="18">
        <f t="shared" ca="1" si="1"/>
        <v>46318.605158680555</v>
      </c>
    </row>
    <row r="60" spans="1:10" x14ac:dyDescent="0.35">
      <c r="A60" t="s">
        <v>67</v>
      </c>
      <c r="B60" t="s">
        <v>38</v>
      </c>
      <c r="C60" t="s">
        <v>24</v>
      </c>
      <c r="D60" t="s">
        <v>12</v>
      </c>
      <c r="E60">
        <v>1248.82</v>
      </c>
      <c r="F60">
        <v>2</v>
      </c>
      <c r="G60">
        <v>0.1</v>
      </c>
      <c r="H60" s="1">
        <v>45473</v>
      </c>
      <c r="I60">
        <v>449.58</v>
      </c>
      <c r="J60" s="18">
        <f t="shared" ca="1" si="1"/>
        <v>46318.605158680555</v>
      </c>
    </row>
    <row r="61" spans="1:10" x14ac:dyDescent="0.35">
      <c r="A61" t="s">
        <v>13</v>
      </c>
      <c r="B61" t="s">
        <v>59</v>
      </c>
      <c r="C61" t="s">
        <v>11</v>
      </c>
      <c r="D61" t="s">
        <v>15</v>
      </c>
      <c r="E61">
        <v>1360.36</v>
      </c>
      <c r="F61">
        <v>17</v>
      </c>
      <c r="G61">
        <v>0</v>
      </c>
      <c r="H61" s="1">
        <v>45473</v>
      </c>
      <c r="I61">
        <v>680.18</v>
      </c>
      <c r="J61" s="18">
        <f t="shared" ca="1" si="1"/>
        <v>46318.605158680555</v>
      </c>
    </row>
    <row r="62" spans="1:10" x14ac:dyDescent="0.35">
      <c r="A62" t="s">
        <v>57</v>
      </c>
      <c r="B62" t="s">
        <v>31</v>
      </c>
      <c r="C62" t="s">
        <v>18</v>
      </c>
      <c r="D62" t="s">
        <v>12</v>
      </c>
      <c r="E62">
        <v>1383.3</v>
      </c>
      <c r="F62">
        <v>8</v>
      </c>
      <c r="G62">
        <v>0.1</v>
      </c>
      <c r="H62" s="1">
        <v>45478</v>
      </c>
      <c r="I62">
        <v>497.99</v>
      </c>
      <c r="J62" s="18">
        <f t="shared" ca="1" si="1"/>
        <v>46318.605158680555</v>
      </c>
    </row>
    <row r="63" spans="1:10" x14ac:dyDescent="0.35">
      <c r="A63" t="s">
        <v>35</v>
      </c>
      <c r="B63" t="s">
        <v>55</v>
      </c>
      <c r="C63" t="s">
        <v>34</v>
      </c>
      <c r="D63" t="s">
        <v>39</v>
      </c>
      <c r="E63">
        <v>488.99</v>
      </c>
      <c r="F63">
        <v>9</v>
      </c>
      <c r="G63">
        <v>0</v>
      </c>
      <c r="H63" s="1">
        <v>45479</v>
      </c>
      <c r="I63">
        <v>220.05</v>
      </c>
      <c r="J63" s="18">
        <f t="shared" ca="1" si="1"/>
        <v>46318.605158680555</v>
      </c>
    </row>
    <row r="64" spans="1:10" x14ac:dyDescent="0.35">
      <c r="A64" t="s">
        <v>30</v>
      </c>
      <c r="B64" t="s">
        <v>31</v>
      </c>
      <c r="C64" t="s">
        <v>18</v>
      </c>
      <c r="D64" t="s">
        <v>27</v>
      </c>
      <c r="E64">
        <v>933.71</v>
      </c>
      <c r="F64">
        <v>17</v>
      </c>
      <c r="G64">
        <v>0.1</v>
      </c>
      <c r="H64" s="1">
        <v>45481</v>
      </c>
      <c r="I64">
        <v>294.12</v>
      </c>
      <c r="J64" s="18">
        <f t="shared" ca="1" si="1"/>
        <v>46318.605158680555</v>
      </c>
    </row>
    <row r="65" spans="1:10" x14ac:dyDescent="0.35">
      <c r="A65" t="s">
        <v>67</v>
      </c>
      <c r="B65" t="s">
        <v>10</v>
      </c>
      <c r="C65" t="s">
        <v>11</v>
      </c>
      <c r="D65" t="s">
        <v>21</v>
      </c>
      <c r="E65">
        <v>1005.53</v>
      </c>
      <c r="F65">
        <v>17</v>
      </c>
      <c r="G65">
        <v>0.2</v>
      </c>
      <c r="H65" s="1">
        <v>45481</v>
      </c>
      <c r="I65">
        <v>201.11</v>
      </c>
      <c r="J65" s="18">
        <f t="shared" ca="1" si="1"/>
        <v>46318.605158680555</v>
      </c>
    </row>
    <row r="66" spans="1:10" x14ac:dyDescent="0.35">
      <c r="A66" t="s">
        <v>41</v>
      </c>
      <c r="B66" t="s">
        <v>61</v>
      </c>
      <c r="C66" t="s">
        <v>20</v>
      </c>
      <c r="D66" t="s">
        <v>21</v>
      </c>
      <c r="E66">
        <v>1100.0999999999999</v>
      </c>
      <c r="F66">
        <v>5</v>
      </c>
      <c r="G66">
        <v>0.05</v>
      </c>
      <c r="H66" s="1">
        <v>45482</v>
      </c>
      <c r="I66">
        <v>261.27</v>
      </c>
      <c r="J66" s="18">
        <f t="shared" ref="J66:J97" ca="1" si="2">NOW()</f>
        <v>46318.605158680555</v>
      </c>
    </row>
    <row r="67" spans="1:10" x14ac:dyDescent="0.35">
      <c r="A67" t="s">
        <v>67</v>
      </c>
      <c r="B67" t="s">
        <v>23</v>
      </c>
      <c r="C67" t="s">
        <v>24</v>
      </c>
      <c r="D67" t="s">
        <v>27</v>
      </c>
      <c r="E67">
        <v>1034.7</v>
      </c>
      <c r="F67">
        <v>15</v>
      </c>
      <c r="G67">
        <v>0.15</v>
      </c>
      <c r="H67" s="1">
        <v>45487</v>
      </c>
      <c r="I67">
        <v>307.82</v>
      </c>
      <c r="J67" s="18">
        <f t="shared" ca="1" si="2"/>
        <v>46318.605158680555</v>
      </c>
    </row>
    <row r="68" spans="1:10" x14ac:dyDescent="0.35">
      <c r="A68" t="s">
        <v>65</v>
      </c>
      <c r="B68" t="s">
        <v>31</v>
      </c>
      <c r="C68" t="s">
        <v>20</v>
      </c>
      <c r="D68" t="s">
        <v>12</v>
      </c>
      <c r="E68">
        <v>876.44</v>
      </c>
      <c r="F68">
        <v>12</v>
      </c>
      <c r="G68">
        <v>0.05</v>
      </c>
      <c r="H68" s="1">
        <v>45488</v>
      </c>
      <c r="I68">
        <v>333.05</v>
      </c>
      <c r="J68" s="18">
        <f t="shared" ca="1" si="2"/>
        <v>46318.605158680555</v>
      </c>
    </row>
    <row r="69" spans="1:10" x14ac:dyDescent="0.35">
      <c r="A69" t="s">
        <v>68</v>
      </c>
      <c r="B69" t="s">
        <v>55</v>
      </c>
      <c r="C69" t="s">
        <v>11</v>
      </c>
      <c r="D69" t="s">
        <v>27</v>
      </c>
      <c r="E69">
        <v>1371.34</v>
      </c>
      <c r="F69">
        <v>5</v>
      </c>
      <c r="G69">
        <v>0.05</v>
      </c>
      <c r="H69" s="1">
        <v>45488</v>
      </c>
      <c r="I69">
        <v>455.97</v>
      </c>
      <c r="J69" s="18">
        <f t="shared" ca="1" si="2"/>
        <v>46318.605158680555</v>
      </c>
    </row>
    <row r="70" spans="1:10" x14ac:dyDescent="0.35">
      <c r="A70" t="s">
        <v>57</v>
      </c>
      <c r="B70" t="s">
        <v>47</v>
      </c>
      <c r="C70" t="s">
        <v>24</v>
      </c>
      <c r="D70" t="s">
        <v>21</v>
      </c>
      <c r="E70">
        <v>1020.26</v>
      </c>
      <c r="F70">
        <v>11</v>
      </c>
      <c r="G70">
        <v>0.05</v>
      </c>
      <c r="H70" s="1">
        <v>45494</v>
      </c>
      <c r="I70">
        <v>242.31</v>
      </c>
      <c r="J70" s="18">
        <f t="shared" ca="1" si="2"/>
        <v>46318.605158680555</v>
      </c>
    </row>
    <row r="71" spans="1:10" x14ac:dyDescent="0.35">
      <c r="A71" t="s">
        <v>44</v>
      </c>
      <c r="B71" t="s">
        <v>10</v>
      </c>
      <c r="C71" t="s">
        <v>34</v>
      </c>
      <c r="D71" t="s">
        <v>39</v>
      </c>
      <c r="E71">
        <v>804.81</v>
      </c>
      <c r="F71">
        <v>1</v>
      </c>
      <c r="G71">
        <v>0.05</v>
      </c>
      <c r="H71" s="1">
        <v>45502</v>
      </c>
      <c r="I71">
        <v>344.06</v>
      </c>
      <c r="J71" s="18">
        <f t="shared" ca="1" si="2"/>
        <v>46318.605158680555</v>
      </c>
    </row>
    <row r="72" spans="1:10" x14ac:dyDescent="0.35">
      <c r="A72" t="s">
        <v>22</v>
      </c>
      <c r="B72" t="s">
        <v>55</v>
      </c>
      <c r="C72" t="s">
        <v>34</v>
      </c>
      <c r="D72" t="s">
        <v>21</v>
      </c>
      <c r="E72">
        <v>608.66</v>
      </c>
      <c r="F72">
        <v>1</v>
      </c>
      <c r="G72">
        <v>0.05</v>
      </c>
      <c r="H72" s="1">
        <v>45503</v>
      </c>
      <c r="I72">
        <v>144.56</v>
      </c>
      <c r="J72" s="18">
        <f t="shared" ca="1" si="2"/>
        <v>46318.605158680555</v>
      </c>
    </row>
    <row r="73" spans="1:10" x14ac:dyDescent="0.35">
      <c r="A73" t="s">
        <v>68</v>
      </c>
      <c r="B73" t="s">
        <v>69</v>
      </c>
      <c r="C73" t="s">
        <v>20</v>
      </c>
      <c r="D73" t="s">
        <v>39</v>
      </c>
      <c r="E73">
        <v>981.2</v>
      </c>
      <c r="F73">
        <v>19</v>
      </c>
      <c r="G73">
        <v>0</v>
      </c>
      <c r="H73" s="1">
        <v>45504</v>
      </c>
      <c r="I73">
        <v>441.54</v>
      </c>
      <c r="J73" s="18">
        <f t="shared" ca="1" si="2"/>
        <v>46318.605158680555</v>
      </c>
    </row>
    <row r="74" spans="1:10" x14ac:dyDescent="0.35">
      <c r="A74" t="s">
        <v>70</v>
      </c>
      <c r="B74" t="s">
        <v>55</v>
      </c>
      <c r="C74" t="s">
        <v>18</v>
      </c>
      <c r="D74" t="s">
        <v>21</v>
      </c>
      <c r="E74">
        <v>539.77</v>
      </c>
      <c r="F74">
        <v>10</v>
      </c>
      <c r="G74">
        <v>0.15</v>
      </c>
      <c r="H74" s="1">
        <v>45509</v>
      </c>
      <c r="I74">
        <v>114.7</v>
      </c>
      <c r="J74" s="18">
        <f t="shared" ca="1" si="2"/>
        <v>46318.605158680555</v>
      </c>
    </row>
    <row r="75" spans="1:10" x14ac:dyDescent="0.35">
      <c r="A75" t="s">
        <v>13</v>
      </c>
      <c r="B75" t="s">
        <v>71</v>
      </c>
      <c r="C75" t="s">
        <v>20</v>
      </c>
      <c r="D75" t="s">
        <v>12</v>
      </c>
      <c r="E75">
        <v>804.45</v>
      </c>
      <c r="F75">
        <v>5</v>
      </c>
      <c r="G75">
        <v>0.2</v>
      </c>
      <c r="H75" s="1">
        <v>45509</v>
      </c>
      <c r="I75">
        <v>257.42</v>
      </c>
      <c r="J75" s="18">
        <f t="shared" ca="1" si="2"/>
        <v>46318.605158680555</v>
      </c>
    </row>
    <row r="76" spans="1:10" x14ac:dyDescent="0.35">
      <c r="A76" t="s">
        <v>70</v>
      </c>
      <c r="B76" t="s">
        <v>38</v>
      </c>
      <c r="C76" t="s">
        <v>11</v>
      </c>
      <c r="D76" t="s">
        <v>21</v>
      </c>
      <c r="E76">
        <v>1526.6</v>
      </c>
      <c r="F76">
        <v>13</v>
      </c>
      <c r="G76">
        <v>0.2</v>
      </c>
      <c r="H76" s="1">
        <v>45512</v>
      </c>
      <c r="I76">
        <v>305.32</v>
      </c>
      <c r="J76" s="18">
        <f t="shared" ca="1" si="2"/>
        <v>46318.605158680555</v>
      </c>
    </row>
    <row r="77" spans="1:10" x14ac:dyDescent="0.35">
      <c r="A77" t="s">
        <v>13</v>
      </c>
      <c r="B77" t="s">
        <v>29</v>
      </c>
      <c r="C77" t="s">
        <v>11</v>
      </c>
      <c r="D77" t="s">
        <v>21</v>
      </c>
      <c r="E77">
        <v>1215.26</v>
      </c>
      <c r="F77">
        <v>5</v>
      </c>
      <c r="G77">
        <v>0.15</v>
      </c>
      <c r="H77" s="1">
        <v>45513</v>
      </c>
      <c r="I77">
        <v>258.24</v>
      </c>
      <c r="J77" s="18">
        <f t="shared" ca="1" si="2"/>
        <v>46318.605158680555</v>
      </c>
    </row>
    <row r="78" spans="1:10" x14ac:dyDescent="0.35">
      <c r="A78" t="s">
        <v>19</v>
      </c>
      <c r="B78" t="s">
        <v>53</v>
      </c>
      <c r="C78" t="s">
        <v>34</v>
      </c>
      <c r="D78" t="s">
        <v>27</v>
      </c>
      <c r="E78">
        <v>1261.3399999999999</v>
      </c>
      <c r="F78">
        <v>3</v>
      </c>
      <c r="G78">
        <v>0</v>
      </c>
      <c r="H78" s="1">
        <v>45519</v>
      </c>
      <c r="I78">
        <v>441.47</v>
      </c>
      <c r="J78" s="18">
        <f t="shared" ca="1" si="2"/>
        <v>46318.605158680555</v>
      </c>
    </row>
    <row r="79" spans="1:10" x14ac:dyDescent="0.35">
      <c r="A79" t="s">
        <v>72</v>
      </c>
      <c r="B79" t="s">
        <v>45</v>
      </c>
      <c r="C79" t="s">
        <v>24</v>
      </c>
      <c r="D79" t="s">
        <v>27</v>
      </c>
      <c r="E79">
        <v>518.07000000000005</v>
      </c>
      <c r="F79">
        <v>7</v>
      </c>
      <c r="G79">
        <v>0.05</v>
      </c>
      <c r="H79" s="1">
        <v>45522</v>
      </c>
      <c r="I79">
        <v>172.26</v>
      </c>
      <c r="J79" s="18">
        <f t="shared" ca="1" si="2"/>
        <v>46318.605158680555</v>
      </c>
    </row>
    <row r="80" spans="1:10" x14ac:dyDescent="0.35">
      <c r="A80" t="s">
        <v>30</v>
      </c>
      <c r="B80" t="s">
        <v>29</v>
      </c>
      <c r="C80" t="s">
        <v>11</v>
      </c>
      <c r="D80" t="s">
        <v>39</v>
      </c>
      <c r="E80">
        <v>1111.3399999999999</v>
      </c>
      <c r="F80">
        <v>1</v>
      </c>
      <c r="G80">
        <v>0</v>
      </c>
      <c r="H80" s="1">
        <v>45523</v>
      </c>
      <c r="I80">
        <v>500.1</v>
      </c>
      <c r="J80" s="18">
        <f t="shared" ca="1" si="2"/>
        <v>46318.605158680555</v>
      </c>
    </row>
    <row r="81" spans="1:10" x14ac:dyDescent="0.35">
      <c r="A81" t="s">
        <v>22</v>
      </c>
      <c r="B81" t="s">
        <v>31</v>
      </c>
      <c r="C81" t="s">
        <v>18</v>
      </c>
      <c r="D81" t="s">
        <v>15</v>
      </c>
      <c r="E81">
        <v>1291.47</v>
      </c>
      <c r="F81">
        <v>18</v>
      </c>
      <c r="G81">
        <v>0.1</v>
      </c>
      <c r="H81" s="1">
        <v>45526</v>
      </c>
      <c r="I81">
        <v>581.16</v>
      </c>
      <c r="J81" s="18">
        <f t="shared" ca="1" si="2"/>
        <v>46318.605158680555</v>
      </c>
    </row>
    <row r="82" spans="1:10" x14ac:dyDescent="0.35">
      <c r="A82" t="s">
        <v>25</v>
      </c>
      <c r="B82" t="s">
        <v>55</v>
      </c>
      <c r="C82" t="s">
        <v>24</v>
      </c>
      <c r="D82" t="s">
        <v>12</v>
      </c>
      <c r="E82">
        <v>679.71</v>
      </c>
      <c r="F82">
        <v>19</v>
      </c>
      <c r="G82">
        <v>0</v>
      </c>
      <c r="H82" s="1">
        <v>45534</v>
      </c>
      <c r="I82">
        <v>271.88</v>
      </c>
      <c r="J82" s="18">
        <f t="shared" ca="1" si="2"/>
        <v>46318.605158680555</v>
      </c>
    </row>
    <row r="83" spans="1:10" x14ac:dyDescent="0.35">
      <c r="A83" t="s">
        <v>68</v>
      </c>
      <c r="B83" t="s">
        <v>33</v>
      </c>
      <c r="C83" t="s">
        <v>18</v>
      </c>
      <c r="D83" t="s">
        <v>27</v>
      </c>
      <c r="E83">
        <v>1143.69</v>
      </c>
      <c r="F83">
        <v>17</v>
      </c>
      <c r="G83">
        <v>0</v>
      </c>
      <c r="H83" s="1">
        <v>45534</v>
      </c>
      <c r="I83">
        <v>400.29</v>
      </c>
      <c r="J83" s="18">
        <f t="shared" ca="1" si="2"/>
        <v>46318.605158680555</v>
      </c>
    </row>
    <row r="84" spans="1:10" x14ac:dyDescent="0.35">
      <c r="A84" t="s">
        <v>52</v>
      </c>
      <c r="B84" t="s">
        <v>50</v>
      </c>
      <c r="C84" t="s">
        <v>34</v>
      </c>
      <c r="D84" t="s">
        <v>21</v>
      </c>
      <c r="E84">
        <v>790.08</v>
      </c>
      <c r="F84">
        <v>7</v>
      </c>
      <c r="G84">
        <v>0.1</v>
      </c>
      <c r="H84" s="1">
        <v>45536</v>
      </c>
      <c r="I84">
        <v>177.77</v>
      </c>
      <c r="J84" s="18">
        <f t="shared" ca="1" si="2"/>
        <v>46318.605158680555</v>
      </c>
    </row>
    <row r="85" spans="1:10" x14ac:dyDescent="0.35">
      <c r="A85" t="s">
        <v>19</v>
      </c>
      <c r="B85" t="s">
        <v>48</v>
      </c>
      <c r="C85" t="s">
        <v>34</v>
      </c>
      <c r="D85" t="s">
        <v>12</v>
      </c>
      <c r="E85">
        <v>1070.68</v>
      </c>
      <c r="F85">
        <v>7</v>
      </c>
      <c r="G85">
        <v>0.05</v>
      </c>
      <c r="H85" s="1">
        <v>45536</v>
      </c>
      <c r="I85">
        <v>406.86</v>
      </c>
      <c r="J85" s="18">
        <f t="shared" ca="1" si="2"/>
        <v>46318.605158680555</v>
      </c>
    </row>
    <row r="86" spans="1:10" x14ac:dyDescent="0.35">
      <c r="A86" t="s">
        <v>58</v>
      </c>
      <c r="B86" t="s">
        <v>36</v>
      </c>
      <c r="C86" t="s">
        <v>11</v>
      </c>
      <c r="D86" t="s">
        <v>15</v>
      </c>
      <c r="E86">
        <v>1168.8900000000001</v>
      </c>
      <c r="F86">
        <v>4</v>
      </c>
      <c r="G86">
        <v>0.1</v>
      </c>
      <c r="H86" s="1">
        <v>45544</v>
      </c>
      <c r="I86">
        <v>526</v>
      </c>
      <c r="J86" s="18">
        <f t="shared" ca="1" si="2"/>
        <v>46318.605158680555</v>
      </c>
    </row>
    <row r="87" spans="1:10" x14ac:dyDescent="0.35">
      <c r="A87" t="s">
        <v>67</v>
      </c>
      <c r="B87" t="s">
        <v>10</v>
      </c>
      <c r="C87" t="s">
        <v>20</v>
      </c>
      <c r="D87" t="s">
        <v>21</v>
      </c>
      <c r="E87">
        <v>1335.87</v>
      </c>
      <c r="F87">
        <v>17</v>
      </c>
      <c r="G87">
        <v>0</v>
      </c>
      <c r="H87" s="1">
        <v>45544</v>
      </c>
      <c r="I87">
        <v>333.97</v>
      </c>
      <c r="J87" s="18">
        <f t="shared" ca="1" si="2"/>
        <v>46318.605158680555</v>
      </c>
    </row>
    <row r="88" spans="1:10" x14ac:dyDescent="0.35">
      <c r="A88" t="s">
        <v>40</v>
      </c>
      <c r="B88" t="s">
        <v>55</v>
      </c>
      <c r="C88" t="s">
        <v>18</v>
      </c>
      <c r="D88" t="s">
        <v>27</v>
      </c>
      <c r="E88">
        <v>873.7</v>
      </c>
      <c r="F88">
        <v>9</v>
      </c>
      <c r="G88">
        <v>0</v>
      </c>
      <c r="H88" s="1">
        <v>45546</v>
      </c>
      <c r="I88">
        <v>305.8</v>
      </c>
      <c r="J88" s="18">
        <f t="shared" ca="1" si="2"/>
        <v>46318.605158680555</v>
      </c>
    </row>
    <row r="89" spans="1:10" x14ac:dyDescent="0.35">
      <c r="A89" t="s">
        <v>72</v>
      </c>
      <c r="B89" t="s">
        <v>64</v>
      </c>
      <c r="C89" t="s">
        <v>11</v>
      </c>
      <c r="D89" t="s">
        <v>39</v>
      </c>
      <c r="E89">
        <v>1443.98</v>
      </c>
      <c r="F89">
        <v>19</v>
      </c>
      <c r="G89">
        <v>0</v>
      </c>
      <c r="H89" s="1">
        <v>45547</v>
      </c>
      <c r="I89">
        <v>649.79</v>
      </c>
      <c r="J89" s="18">
        <f t="shared" ca="1" si="2"/>
        <v>46318.605158680555</v>
      </c>
    </row>
    <row r="90" spans="1:10" x14ac:dyDescent="0.35">
      <c r="A90" t="s">
        <v>40</v>
      </c>
      <c r="B90" t="s">
        <v>23</v>
      </c>
      <c r="C90" t="s">
        <v>18</v>
      </c>
      <c r="D90" t="s">
        <v>39</v>
      </c>
      <c r="E90">
        <v>1154.33</v>
      </c>
      <c r="F90">
        <v>11</v>
      </c>
      <c r="G90">
        <v>0.15</v>
      </c>
      <c r="H90" s="1">
        <v>45549</v>
      </c>
      <c r="I90">
        <v>441.53</v>
      </c>
      <c r="J90" s="18">
        <f t="shared" ca="1" si="2"/>
        <v>46318.605158680555</v>
      </c>
    </row>
    <row r="91" spans="1:10" x14ac:dyDescent="0.35">
      <c r="A91" t="s">
        <v>49</v>
      </c>
      <c r="B91" t="s">
        <v>50</v>
      </c>
      <c r="C91" t="s">
        <v>20</v>
      </c>
      <c r="D91" t="s">
        <v>12</v>
      </c>
      <c r="E91">
        <v>1264.49</v>
      </c>
      <c r="F91">
        <v>16</v>
      </c>
      <c r="G91">
        <v>0.05</v>
      </c>
      <c r="H91" s="1">
        <v>45549</v>
      </c>
      <c r="I91">
        <v>480.51</v>
      </c>
      <c r="J91" s="18">
        <f t="shared" ca="1" si="2"/>
        <v>46318.605158680555</v>
      </c>
    </row>
    <row r="92" spans="1:10" x14ac:dyDescent="0.35">
      <c r="A92" t="s">
        <v>25</v>
      </c>
      <c r="B92" t="s">
        <v>66</v>
      </c>
      <c r="C92" t="s">
        <v>11</v>
      </c>
      <c r="D92" t="s">
        <v>27</v>
      </c>
      <c r="E92">
        <v>1101.55</v>
      </c>
      <c r="F92">
        <v>4</v>
      </c>
      <c r="G92">
        <v>0.1</v>
      </c>
      <c r="H92" s="1">
        <v>45551</v>
      </c>
      <c r="I92">
        <v>346.99</v>
      </c>
      <c r="J92" s="18">
        <f t="shared" ca="1" si="2"/>
        <v>46318.605158680555</v>
      </c>
    </row>
    <row r="93" spans="1:10" x14ac:dyDescent="0.35">
      <c r="A93" t="s">
        <v>73</v>
      </c>
      <c r="B93" t="s">
        <v>14</v>
      </c>
      <c r="C93" t="s">
        <v>20</v>
      </c>
      <c r="D93" t="s">
        <v>27</v>
      </c>
      <c r="E93">
        <v>727.73</v>
      </c>
      <c r="F93">
        <v>1</v>
      </c>
      <c r="G93">
        <v>0.1</v>
      </c>
      <c r="H93" s="1">
        <v>45552</v>
      </c>
      <c r="I93">
        <v>229.23</v>
      </c>
      <c r="J93" s="18">
        <f t="shared" ca="1" si="2"/>
        <v>46318.605158680555</v>
      </c>
    </row>
    <row r="94" spans="1:10" x14ac:dyDescent="0.35">
      <c r="A94" t="s">
        <v>74</v>
      </c>
      <c r="B94" t="s">
        <v>38</v>
      </c>
      <c r="C94" t="s">
        <v>18</v>
      </c>
      <c r="D94" t="s">
        <v>39</v>
      </c>
      <c r="E94">
        <v>875.41</v>
      </c>
      <c r="F94">
        <v>13</v>
      </c>
      <c r="G94">
        <v>0.15</v>
      </c>
      <c r="H94" s="1">
        <v>45552</v>
      </c>
      <c r="I94">
        <v>334.84</v>
      </c>
      <c r="J94" s="18">
        <f t="shared" ca="1" si="2"/>
        <v>46318.605158680555</v>
      </c>
    </row>
    <row r="95" spans="1:10" x14ac:dyDescent="0.35">
      <c r="A95" t="s">
        <v>67</v>
      </c>
      <c r="B95" t="s">
        <v>23</v>
      </c>
      <c r="C95" t="s">
        <v>11</v>
      </c>
      <c r="D95" t="s">
        <v>21</v>
      </c>
      <c r="E95">
        <v>1158.94</v>
      </c>
      <c r="F95">
        <v>19</v>
      </c>
      <c r="G95">
        <v>0.2</v>
      </c>
      <c r="H95" s="1">
        <v>45553</v>
      </c>
      <c r="I95">
        <v>231.79</v>
      </c>
      <c r="J95" s="18">
        <f t="shared" ca="1" si="2"/>
        <v>46318.605158680555</v>
      </c>
    </row>
    <row r="96" spans="1:10" x14ac:dyDescent="0.35">
      <c r="A96" t="s">
        <v>75</v>
      </c>
      <c r="B96" t="s">
        <v>47</v>
      </c>
      <c r="C96" t="s">
        <v>20</v>
      </c>
      <c r="D96" t="s">
        <v>12</v>
      </c>
      <c r="E96">
        <v>966.3</v>
      </c>
      <c r="F96">
        <v>2</v>
      </c>
      <c r="G96">
        <v>0.15</v>
      </c>
      <c r="H96" s="1">
        <v>45557</v>
      </c>
      <c r="I96">
        <v>328.54</v>
      </c>
      <c r="J96" s="18">
        <f t="shared" ca="1" si="2"/>
        <v>46318.605158680555</v>
      </c>
    </row>
    <row r="97" spans="1:10" x14ac:dyDescent="0.35">
      <c r="A97" t="s">
        <v>68</v>
      </c>
      <c r="B97" t="s">
        <v>17</v>
      </c>
      <c r="C97" t="s">
        <v>20</v>
      </c>
      <c r="D97" t="s">
        <v>12</v>
      </c>
      <c r="E97">
        <v>917.48</v>
      </c>
      <c r="F97">
        <v>6</v>
      </c>
      <c r="G97">
        <v>0</v>
      </c>
      <c r="H97" s="1">
        <v>45558</v>
      </c>
      <c r="I97">
        <v>366.99</v>
      </c>
      <c r="J97" s="18">
        <f t="shared" ca="1" si="2"/>
        <v>46318.605158680555</v>
      </c>
    </row>
    <row r="98" spans="1:10" x14ac:dyDescent="0.35">
      <c r="A98" t="s">
        <v>41</v>
      </c>
      <c r="B98" t="s">
        <v>61</v>
      </c>
      <c r="C98" t="s">
        <v>11</v>
      </c>
      <c r="D98" t="s">
        <v>27</v>
      </c>
      <c r="E98">
        <v>1172.97</v>
      </c>
      <c r="F98">
        <v>7</v>
      </c>
      <c r="G98">
        <v>0.15</v>
      </c>
      <c r="H98" s="1">
        <v>45559</v>
      </c>
      <c r="I98">
        <v>348.96</v>
      </c>
      <c r="J98" s="18">
        <f t="shared" ref="J98:J129" ca="1" si="3">NOW()</f>
        <v>46318.605158680555</v>
      </c>
    </row>
    <row r="99" spans="1:10" x14ac:dyDescent="0.35">
      <c r="A99" t="s">
        <v>57</v>
      </c>
      <c r="B99" t="s">
        <v>23</v>
      </c>
      <c r="C99" t="s">
        <v>24</v>
      </c>
      <c r="D99" t="s">
        <v>15</v>
      </c>
      <c r="E99">
        <v>1205.82</v>
      </c>
      <c r="F99">
        <v>11</v>
      </c>
      <c r="G99">
        <v>0.1</v>
      </c>
      <c r="H99" s="1">
        <v>45559</v>
      </c>
      <c r="I99">
        <v>542.62</v>
      </c>
      <c r="J99" s="18">
        <f t="shared" ca="1" si="3"/>
        <v>46318.605158680555</v>
      </c>
    </row>
    <row r="100" spans="1:10" x14ac:dyDescent="0.35">
      <c r="A100" t="s">
        <v>16</v>
      </c>
      <c r="B100" t="s">
        <v>64</v>
      </c>
      <c r="C100" t="s">
        <v>11</v>
      </c>
      <c r="D100" t="s">
        <v>39</v>
      </c>
      <c r="E100">
        <v>826.93</v>
      </c>
      <c r="F100">
        <v>10</v>
      </c>
      <c r="G100">
        <v>0.2</v>
      </c>
      <c r="H100" s="1">
        <v>45564</v>
      </c>
      <c r="I100">
        <v>297.69</v>
      </c>
      <c r="J100" s="18">
        <f t="shared" ca="1" si="3"/>
        <v>46318.605158680555</v>
      </c>
    </row>
    <row r="101" spans="1:10" x14ac:dyDescent="0.35">
      <c r="A101" t="s">
        <v>67</v>
      </c>
      <c r="B101" t="s">
        <v>23</v>
      </c>
      <c r="C101" t="s">
        <v>34</v>
      </c>
      <c r="D101" t="s">
        <v>15</v>
      </c>
      <c r="E101">
        <v>902.19</v>
      </c>
      <c r="F101">
        <v>12</v>
      </c>
      <c r="G101">
        <v>0</v>
      </c>
      <c r="H101" s="1">
        <v>45564</v>
      </c>
      <c r="I101">
        <v>451.1</v>
      </c>
      <c r="J101" s="18">
        <f t="shared" ca="1" si="3"/>
        <v>46318.605158680555</v>
      </c>
    </row>
    <row r="102" spans="1:10" x14ac:dyDescent="0.35">
      <c r="A102" t="s">
        <v>74</v>
      </c>
      <c r="B102" t="s">
        <v>38</v>
      </c>
      <c r="C102" t="s">
        <v>24</v>
      </c>
      <c r="D102" t="s">
        <v>12</v>
      </c>
      <c r="E102">
        <v>585.97</v>
      </c>
      <c r="F102">
        <v>17</v>
      </c>
      <c r="G102">
        <v>0.1</v>
      </c>
      <c r="H102" s="1">
        <v>45565</v>
      </c>
      <c r="I102">
        <v>210.95</v>
      </c>
      <c r="J102" s="18">
        <f t="shared" ca="1" si="3"/>
        <v>46318.605158680555</v>
      </c>
    </row>
    <row r="103" spans="1:10" x14ac:dyDescent="0.35">
      <c r="A103" t="s">
        <v>60</v>
      </c>
      <c r="B103" t="s">
        <v>26</v>
      </c>
      <c r="C103" t="s">
        <v>24</v>
      </c>
      <c r="D103" t="s">
        <v>15</v>
      </c>
      <c r="E103">
        <v>990.19</v>
      </c>
      <c r="F103">
        <v>8</v>
      </c>
      <c r="G103">
        <v>0.1</v>
      </c>
      <c r="H103" s="1">
        <v>45565</v>
      </c>
      <c r="I103">
        <v>445.59</v>
      </c>
      <c r="J103" s="18">
        <f t="shared" ca="1" si="3"/>
        <v>46318.605158680555</v>
      </c>
    </row>
    <row r="104" spans="1:10" x14ac:dyDescent="0.35">
      <c r="A104" t="s">
        <v>44</v>
      </c>
      <c r="B104" t="s">
        <v>56</v>
      </c>
      <c r="C104" t="s">
        <v>34</v>
      </c>
      <c r="D104" t="s">
        <v>21</v>
      </c>
      <c r="E104">
        <v>1014.09</v>
      </c>
      <c r="F104">
        <v>13</v>
      </c>
      <c r="G104">
        <v>0.2</v>
      </c>
      <c r="H104" s="1">
        <v>45567</v>
      </c>
      <c r="I104">
        <v>202.82</v>
      </c>
      <c r="J104" s="18">
        <f t="shared" ca="1" si="3"/>
        <v>46318.605158680555</v>
      </c>
    </row>
    <row r="105" spans="1:10" x14ac:dyDescent="0.35">
      <c r="A105" t="s">
        <v>13</v>
      </c>
      <c r="B105" t="s">
        <v>48</v>
      </c>
      <c r="C105" t="s">
        <v>24</v>
      </c>
      <c r="D105" t="s">
        <v>21</v>
      </c>
      <c r="E105">
        <v>925.29</v>
      </c>
      <c r="F105">
        <v>17</v>
      </c>
      <c r="G105">
        <v>0</v>
      </c>
      <c r="H105" s="1">
        <v>45570</v>
      </c>
      <c r="I105">
        <v>231.32</v>
      </c>
      <c r="J105" s="18">
        <f t="shared" ca="1" si="3"/>
        <v>46318.605158680555</v>
      </c>
    </row>
    <row r="106" spans="1:10" x14ac:dyDescent="0.35">
      <c r="A106" t="s">
        <v>54</v>
      </c>
      <c r="B106" t="s">
        <v>47</v>
      </c>
      <c r="C106" t="s">
        <v>18</v>
      </c>
      <c r="D106" t="s">
        <v>27</v>
      </c>
      <c r="E106">
        <v>1286.54</v>
      </c>
      <c r="F106">
        <v>8</v>
      </c>
      <c r="G106">
        <v>0</v>
      </c>
      <c r="H106" s="1">
        <v>45575</v>
      </c>
      <c r="I106">
        <v>450.29</v>
      </c>
      <c r="J106" s="18">
        <f t="shared" ca="1" si="3"/>
        <v>46318.605158680555</v>
      </c>
    </row>
    <row r="107" spans="1:10" x14ac:dyDescent="0.35">
      <c r="A107" t="s">
        <v>37</v>
      </c>
      <c r="B107" t="s">
        <v>64</v>
      </c>
      <c r="C107" t="s">
        <v>20</v>
      </c>
      <c r="D107" t="s">
        <v>12</v>
      </c>
      <c r="E107">
        <v>961.62</v>
      </c>
      <c r="F107">
        <v>8</v>
      </c>
      <c r="G107">
        <v>0.2</v>
      </c>
      <c r="H107" s="1">
        <v>45577</v>
      </c>
      <c r="I107">
        <v>307.72000000000003</v>
      </c>
      <c r="J107" s="18">
        <f t="shared" ca="1" si="3"/>
        <v>46318.605158680555</v>
      </c>
    </row>
    <row r="108" spans="1:10" x14ac:dyDescent="0.35">
      <c r="A108" t="s">
        <v>44</v>
      </c>
      <c r="B108" t="s">
        <v>23</v>
      </c>
      <c r="C108" t="s">
        <v>18</v>
      </c>
      <c r="D108" t="s">
        <v>12</v>
      </c>
      <c r="E108">
        <v>1081.1400000000001</v>
      </c>
      <c r="F108">
        <v>19</v>
      </c>
      <c r="G108">
        <v>0.15</v>
      </c>
      <c r="H108" s="1">
        <v>45577</v>
      </c>
      <c r="I108">
        <v>367.59</v>
      </c>
      <c r="J108" s="18">
        <f t="shared" ca="1" si="3"/>
        <v>46318.605158680555</v>
      </c>
    </row>
    <row r="109" spans="1:10" x14ac:dyDescent="0.35">
      <c r="A109" t="s">
        <v>58</v>
      </c>
      <c r="B109" t="s">
        <v>23</v>
      </c>
      <c r="C109" t="s">
        <v>11</v>
      </c>
      <c r="D109" t="s">
        <v>15</v>
      </c>
      <c r="E109">
        <v>1923.66</v>
      </c>
      <c r="F109">
        <v>9</v>
      </c>
      <c r="G109">
        <v>0.2</v>
      </c>
      <c r="H109" s="1">
        <v>45580</v>
      </c>
      <c r="I109">
        <v>769.46</v>
      </c>
      <c r="J109" s="18">
        <f t="shared" ca="1" si="3"/>
        <v>46318.605158680555</v>
      </c>
    </row>
    <row r="110" spans="1:10" x14ac:dyDescent="0.35">
      <c r="A110" t="s">
        <v>54</v>
      </c>
      <c r="B110" t="s">
        <v>66</v>
      </c>
      <c r="C110" t="s">
        <v>34</v>
      </c>
      <c r="D110" t="s">
        <v>15</v>
      </c>
      <c r="E110">
        <v>728.71</v>
      </c>
      <c r="F110">
        <v>14</v>
      </c>
      <c r="G110">
        <v>0.1</v>
      </c>
      <c r="H110" s="1">
        <v>45581</v>
      </c>
      <c r="I110">
        <v>327.92</v>
      </c>
      <c r="J110" s="18">
        <f t="shared" ca="1" si="3"/>
        <v>46318.605158680555</v>
      </c>
    </row>
    <row r="111" spans="1:10" x14ac:dyDescent="0.35">
      <c r="A111" t="s">
        <v>9</v>
      </c>
      <c r="B111" t="s">
        <v>33</v>
      </c>
      <c r="C111" t="s">
        <v>34</v>
      </c>
      <c r="D111" t="s">
        <v>15</v>
      </c>
      <c r="E111">
        <v>1301.8900000000001</v>
      </c>
      <c r="F111">
        <v>7</v>
      </c>
      <c r="G111">
        <v>0.15</v>
      </c>
      <c r="H111" s="1">
        <v>45581</v>
      </c>
      <c r="I111">
        <v>553.29999999999995</v>
      </c>
      <c r="J111" s="18">
        <f t="shared" ca="1" si="3"/>
        <v>46318.605158680555</v>
      </c>
    </row>
    <row r="112" spans="1:10" x14ac:dyDescent="0.35">
      <c r="A112" t="s">
        <v>70</v>
      </c>
      <c r="B112" t="s">
        <v>66</v>
      </c>
      <c r="C112" t="s">
        <v>18</v>
      </c>
      <c r="D112" t="s">
        <v>12</v>
      </c>
      <c r="E112">
        <v>980.18</v>
      </c>
      <c r="F112">
        <v>16</v>
      </c>
      <c r="G112">
        <v>0.1</v>
      </c>
      <c r="H112" s="1">
        <v>45582</v>
      </c>
      <c r="I112">
        <v>352.86</v>
      </c>
      <c r="J112" s="18">
        <f t="shared" ca="1" si="3"/>
        <v>46318.605158680555</v>
      </c>
    </row>
    <row r="113" spans="1:10" x14ac:dyDescent="0.35">
      <c r="A113" t="s">
        <v>74</v>
      </c>
      <c r="B113" t="s">
        <v>23</v>
      </c>
      <c r="C113" t="s">
        <v>11</v>
      </c>
      <c r="D113" t="s">
        <v>15</v>
      </c>
      <c r="E113">
        <v>697.57</v>
      </c>
      <c r="F113">
        <v>17</v>
      </c>
      <c r="G113">
        <v>0.1</v>
      </c>
      <c r="H113" s="1">
        <v>45584</v>
      </c>
      <c r="I113">
        <v>313.91000000000003</v>
      </c>
      <c r="J113" s="18">
        <f t="shared" ca="1" si="3"/>
        <v>46318.605158680555</v>
      </c>
    </row>
    <row r="114" spans="1:10" x14ac:dyDescent="0.35">
      <c r="A114" t="s">
        <v>46</v>
      </c>
      <c r="B114" t="s">
        <v>71</v>
      </c>
      <c r="C114" t="s">
        <v>11</v>
      </c>
      <c r="D114" t="s">
        <v>27</v>
      </c>
      <c r="E114">
        <v>1193.6099999999999</v>
      </c>
      <c r="F114">
        <v>1</v>
      </c>
      <c r="G114">
        <v>0.15</v>
      </c>
      <c r="H114" s="1">
        <v>45584</v>
      </c>
      <c r="I114">
        <v>355.1</v>
      </c>
      <c r="J114" s="18">
        <f t="shared" ca="1" si="3"/>
        <v>46318.605158680555</v>
      </c>
    </row>
    <row r="115" spans="1:10" x14ac:dyDescent="0.35">
      <c r="A115" t="s">
        <v>32</v>
      </c>
      <c r="B115" t="s">
        <v>38</v>
      </c>
      <c r="C115" t="s">
        <v>20</v>
      </c>
      <c r="D115" t="s">
        <v>21</v>
      </c>
      <c r="E115">
        <v>771.02</v>
      </c>
      <c r="F115">
        <v>1</v>
      </c>
      <c r="G115">
        <v>0</v>
      </c>
      <c r="H115" s="1">
        <v>45585</v>
      </c>
      <c r="I115">
        <v>192.76</v>
      </c>
      <c r="J115" s="18">
        <f t="shared" ca="1" si="3"/>
        <v>46318.605158680555</v>
      </c>
    </row>
    <row r="116" spans="1:10" x14ac:dyDescent="0.35">
      <c r="A116" t="s">
        <v>67</v>
      </c>
      <c r="B116" t="s">
        <v>69</v>
      </c>
      <c r="C116" t="s">
        <v>24</v>
      </c>
      <c r="D116" t="s">
        <v>15</v>
      </c>
      <c r="E116">
        <v>661.09</v>
      </c>
      <c r="F116">
        <v>1</v>
      </c>
      <c r="G116">
        <v>0.2</v>
      </c>
      <c r="H116" s="1">
        <v>45593</v>
      </c>
      <c r="I116">
        <v>264.44</v>
      </c>
      <c r="J116" s="18">
        <f t="shared" ca="1" si="3"/>
        <v>46318.605158680555</v>
      </c>
    </row>
    <row r="117" spans="1:10" x14ac:dyDescent="0.35">
      <c r="A117" t="s">
        <v>13</v>
      </c>
      <c r="B117" t="s">
        <v>55</v>
      </c>
      <c r="C117" t="s">
        <v>11</v>
      </c>
      <c r="D117" t="s">
        <v>21</v>
      </c>
      <c r="E117">
        <v>688.83</v>
      </c>
      <c r="F117">
        <v>15</v>
      </c>
      <c r="G117">
        <v>0</v>
      </c>
      <c r="H117" s="1">
        <v>45595</v>
      </c>
      <c r="I117">
        <v>172.21</v>
      </c>
      <c r="J117" s="18">
        <f t="shared" ca="1" si="3"/>
        <v>46318.605158680555</v>
      </c>
    </row>
    <row r="118" spans="1:10" x14ac:dyDescent="0.35">
      <c r="A118" t="s">
        <v>73</v>
      </c>
      <c r="B118" t="s">
        <v>29</v>
      </c>
      <c r="C118" t="s">
        <v>34</v>
      </c>
      <c r="D118" t="s">
        <v>12</v>
      </c>
      <c r="E118">
        <v>1249.0999999999999</v>
      </c>
      <c r="F118">
        <v>4</v>
      </c>
      <c r="G118">
        <v>0.05</v>
      </c>
      <c r="H118" s="1">
        <v>45597</v>
      </c>
      <c r="I118">
        <v>474.66</v>
      </c>
      <c r="J118" s="18">
        <f t="shared" ca="1" si="3"/>
        <v>46318.605158680555</v>
      </c>
    </row>
    <row r="119" spans="1:10" x14ac:dyDescent="0.35">
      <c r="A119" t="s">
        <v>44</v>
      </c>
      <c r="B119" t="s">
        <v>23</v>
      </c>
      <c r="C119" t="s">
        <v>18</v>
      </c>
      <c r="D119" t="s">
        <v>39</v>
      </c>
      <c r="E119">
        <v>1014.22</v>
      </c>
      <c r="F119">
        <v>14</v>
      </c>
      <c r="G119">
        <v>0.05</v>
      </c>
      <c r="H119" s="1">
        <v>45599</v>
      </c>
      <c r="I119">
        <v>433.58</v>
      </c>
      <c r="J119" s="18">
        <f t="shared" ca="1" si="3"/>
        <v>46318.605158680555</v>
      </c>
    </row>
    <row r="120" spans="1:10" x14ac:dyDescent="0.35">
      <c r="A120" t="s">
        <v>54</v>
      </c>
      <c r="B120" t="s">
        <v>48</v>
      </c>
      <c r="C120" t="s">
        <v>18</v>
      </c>
      <c r="D120" t="s">
        <v>12</v>
      </c>
      <c r="E120">
        <v>1010.58</v>
      </c>
      <c r="F120">
        <v>2</v>
      </c>
      <c r="G120">
        <v>0.15</v>
      </c>
      <c r="H120" s="1">
        <v>45605</v>
      </c>
      <c r="I120">
        <v>343.6</v>
      </c>
      <c r="J120" s="18">
        <f t="shared" ca="1" si="3"/>
        <v>46318.605158680555</v>
      </c>
    </row>
    <row r="121" spans="1:10" x14ac:dyDescent="0.35">
      <c r="A121" t="s">
        <v>30</v>
      </c>
      <c r="B121" t="s">
        <v>59</v>
      </c>
      <c r="C121" t="s">
        <v>24</v>
      </c>
      <c r="D121" t="s">
        <v>27</v>
      </c>
      <c r="E121">
        <v>957.29</v>
      </c>
      <c r="F121">
        <v>4</v>
      </c>
      <c r="G121">
        <v>0.05</v>
      </c>
      <c r="H121" s="1">
        <v>45605</v>
      </c>
      <c r="I121">
        <v>318.3</v>
      </c>
      <c r="J121" s="18">
        <f t="shared" ca="1" si="3"/>
        <v>46318.605158680555</v>
      </c>
    </row>
    <row r="122" spans="1:10" x14ac:dyDescent="0.35">
      <c r="A122" t="s">
        <v>28</v>
      </c>
      <c r="B122" t="s">
        <v>45</v>
      </c>
      <c r="C122" t="s">
        <v>24</v>
      </c>
      <c r="D122" t="s">
        <v>27</v>
      </c>
      <c r="E122">
        <v>1077.92</v>
      </c>
      <c r="F122">
        <v>3</v>
      </c>
      <c r="G122">
        <v>0.05</v>
      </c>
      <c r="H122" s="1">
        <v>45608</v>
      </c>
      <c r="I122">
        <v>358.41</v>
      </c>
      <c r="J122" s="18">
        <f t="shared" ca="1" si="3"/>
        <v>46318.605158680555</v>
      </c>
    </row>
    <row r="123" spans="1:10" x14ac:dyDescent="0.35">
      <c r="A123" t="s">
        <v>52</v>
      </c>
      <c r="B123" t="s">
        <v>50</v>
      </c>
      <c r="C123" t="s">
        <v>20</v>
      </c>
      <c r="D123" t="s">
        <v>15</v>
      </c>
      <c r="E123">
        <v>1163.01</v>
      </c>
      <c r="F123">
        <v>5</v>
      </c>
      <c r="G123">
        <v>0</v>
      </c>
      <c r="H123" s="1">
        <v>45611</v>
      </c>
      <c r="I123">
        <v>581.5</v>
      </c>
      <c r="J123" s="18">
        <f t="shared" ca="1" si="3"/>
        <v>46318.605158680555</v>
      </c>
    </row>
    <row r="124" spans="1:10" x14ac:dyDescent="0.35">
      <c r="A124" t="s">
        <v>54</v>
      </c>
      <c r="B124" t="s">
        <v>45</v>
      </c>
      <c r="C124" t="s">
        <v>18</v>
      </c>
      <c r="D124" t="s">
        <v>39</v>
      </c>
      <c r="E124">
        <v>1014.56</v>
      </c>
      <c r="F124">
        <v>10</v>
      </c>
      <c r="G124">
        <v>0.1</v>
      </c>
      <c r="H124" s="1">
        <v>45612</v>
      </c>
      <c r="I124">
        <v>410.9</v>
      </c>
      <c r="J124" s="18">
        <f t="shared" ca="1" si="3"/>
        <v>46318.605158680555</v>
      </c>
    </row>
    <row r="125" spans="1:10" x14ac:dyDescent="0.35">
      <c r="A125" t="s">
        <v>9</v>
      </c>
      <c r="B125" t="s">
        <v>17</v>
      </c>
      <c r="C125" t="s">
        <v>20</v>
      </c>
      <c r="D125" t="s">
        <v>21</v>
      </c>
      <c r="E125">
        <v>718.04</v>
      </c>
      <c r="F125">
        <v>14</v>
      </c>
      <c r="G125">
        <v>0</v>
      </c>
      <c r="H125" s="1">
        <v>45613</v>
      </c>
      <c r="I125">
        <v>179.51</v>
      </c>
      <c r="J125" s="18">
        <f t="shared" ca="1" si="3"/>
        <v>46318.605158680555</v>
      </c>
    </row>
    <row r="126" spans="1:10" x14ac:dyDescent="0.35">
      <c r="A126" t="s">
        <v>72</v>
      </c>
      <c r="B126" t="s">
        <v>17</v>
      </c>
      <c r="C126" t="s">
        <v>34</v>
      </c>
      <c r="D126" t="s">
        <v>15</v>
      </c>
      <c r="E126">
        <v>1277.8499999999999</v>
      </c>
      <c r="F126">
        <v>18</v>
      </c>
      <c r="G126">
        <v>0.2</v>
      </c>
      <c r="H126" s="1">
        <v>45613</v>
      </c>
      <c r="I126">
        <v>511.14</v>
      </c>
      <c r="J126" s="18">
        <f t="shared" ca="1" si="3"/>
        <v>46318.605158680555</v>
      </c>
    </row>
    <row r="127" spans="1:10" x14ac:dyDescent="0.35">
      <c r="A127" t="s">
        <v>70</v>
      </c>
      <c r="B127" t="s">
        <v>23</v>
      </c>
      <c r="C127" t="s">
        <v>24</v>
      </c>
      <c r="D127" t="s">
        <v>21</v>
      </c>
      <c r="E127">
        <v>706.73</v>
      </c>
      <c r="F127">
        <v>1</v>
      </c>
      <c r="G127">
        <v>0.15</v>
      </c>
      <c r="H127" s="1">
        <v>45613</v>
      </c>
      <c r="I127">
        <v>150.18</v>
      </c>
      <c r="J127" s="18">
        <f t="shared" ca="1" si="3"/>
        <v>46318.605158680555</v>
      </c>
    </row>
    <row r="128" spans="1:10" x14ac:dyDescent="0.35">
      <c r="A128" t="s">
        <v>65</v>
      </c>
      <c r="B128" t="s">
        <v>50</v>
      </c>
      <c r="C128" t="s">
        <v>18</v>
      </c>
      <c r="D128" t="s">
        <v>21</v>
      </c>
      <c r="E128">
        <v>1410.59</v>
      </c>
      <c r="F128">
        <v>15</v>
      </c>
      <c r="G128">
        <v>0</v>
      </c>
      <c r="H128" s="1">
        <v>45615</v>
      </c>
      <c r="I128">
        <v>352.65</v>
      </c>
      <c r="J128" s="18">
        <f t="shared" ca="1" si="3"/>
        <v>46318.605158680555</v>
      </c>
    </row>
    <row r="129" spans="1:10" x14ac:dyDescent="0.35">
      <c r="A129" t="s">
        <v>32</v>
      </c>
      <c r="B129" t="s">
        <v>61</v>
      </c>
      <c r="C129" t="s">
        <v>20</v>
      </c>
      <c r="D129" t="s">
        <v>27</v>
      </c>
      <c r="E129">
        <v>1350.33</v>
      </c>
      <c r="F129">
        <v>10</v>
      </c>
      <c r="G129">
        <v>0</v>
      </c>
      <c r="H129" s="1">
        <v>45615</v>
      </c>
      <c r="I129">
        <v>472.62</v>
      </c>
      <c r="J129" s="18">
        <f t="shared" ca="1" si="3"/>
        <v>46318.605158680555</v>
      </c>
    </row>
    <row r="130" spans="1:10" x14ac:dyDescent="0.35">
      <c r="A130" t="s">
        <v>41</v>
      </c>
      <c r="B130" t="s">
        <v>45</v>
      </c>
      <c r="C130" t="s">
        <v>18</v>
      </c>
      <c r="D130" t="s">
        <v>21</v>
      </c>
      <c r="E130">
        <v>919.18</v>
      </c>
      <c r="F130">
        <v>4</v>
      </c>
      <c r="G130">
        <v>0.15</v>
      </c>
      <c r="H130" s="1">
        <v>45615</v>
      </c>
      <c r="I130">
        <v>195.33</v>
      </c>
      <c r="J130" s="18">
        <f t="shared" ref="J130:J161" ca="1" si="4">NOW()</f>
        <v>46318.605158680555</v>
      </c>
    </row>
    <row r="131" spans="1:10" x14ac:dyDescent="0.35">
      <c r="A131" t="s">
        <v>74</v>
      </c>
      <c r="B131" t="s">
        <v>23</v>
      </c>
      <c r="C131" t="s">
        <v>11</v>
      </c>
      <c r="D131" t="s">
        <v>21</v>
      </c>
      <c r="E131">
        <v>258.51</v>
      </c>
      <c r="F131">
        <v>19</v>
      </c>
      <c r="G131">
        <v>0</v>
      </c>
      <c r="H131" s="1">
        <v>45616</v>
      </c>
      <c r="I131">
        <v>64.63</v>
      </c>
      <c r="J131" s="18">
        <f t="shared" ca="1" si="4"/>
        <v>46318.605158680555</v>
      </c>
    </row>
    <row r="132" spans="1:10" x14ac:dyDescent="0.35">
      <c r="A132" t="s">
        <v>63</v>
      </c>
      <c r="B132" t="s">
        <v>61</v>
      </c>
      <c r="C132" t="s">
        <v>18</v>
      </c>
      <c r="D132" t="s">
        <v>12</v>
      </c>
      <c r="E132">
        <v>1213.48</v>
      </c>
      <c r="F132">
        <v>5</v>
      </c>
      <c r="G132">
        <v>0.05</v>
      </c>
      <c r="H132" s="1">
        <v>45616</v>
      </c>
      <c r="I132">
        <v>461.12</v>
      </c>
      <c r="J132" s="18">
        <f t="shared" ca="1" si="4"/>
        <v>46318.605158680555</v>
      </c>
    </row>
    <row r="133" spans="1:10" x14ac:dyDescent="0.35">
      <c r="A133" t="s">
        <v>57</v>
      </c>
      <c r="B133" t="s">
        <v>38</v>
      </c>
      <c r="C133" t="s">
        <v>34</v>
      </c>
      <c r="D133" t="s">
        <v>12</v>
      </c>
      <c r="E133">
        <v>1150.28</v>
      </c>
      <c r="F133">
        <v>8</v>
      </c>
      <c r="G133">
        <v>0.05</v>
      </c>
      <c r="H133" s="1">
        <v>45622</v>
      </c>
      <c r="I133">
        <v>437.11</v>
      </c>
      <c r="J133" s="18">
        <f t="shared" ca="1" si="4"/>
        <v>46318.605158680555</v>
      </c>
    </row>
    <row r="134" spans="1:10" x14ac:dyDescent="0.35">
      <c r="A134" t="s">
        <v>37</v>
      </c>
      <c r="B134" t="s">
        <v>71</v>
      </c>
      <c r="C134" t="s">
        <v>20</v>
      </c>
      <c r="D134" t="s">
        <v>27</v>
      </c>
      <c r="E134">
        <v>853.86</v>
      </c>
      <c r="F134">
        <v>8</v>
      </c>
      <c r="G134">
        <v>0.1</v>
      </c>
      <c r="H134" s="1">
        <v>45622</v>
      </c>
      <c r="I134">
        <v>268.97000000000003</v>
      </c>
      <c r="J134" s="18">
        <f t="shared" ca="1" si="4"/>
        <v>46318.605158680555</v>
      </c>
    </row>
    <row r="135" spans="1:10" x14ac:dyDescent="0.35">
      <c r="A135" t="s">
        <v>75</v>
      </c>
      <c r="B135" t="s">
        <v>45</v>
      </c>
      <c r="C135" t="s">
        <v>20</v>
      </c>
      <c r="D135" t="s">
        <v>21</v>
      </c>
      <c r="E135">
        <v>1061.04</v>
      </c>
      <c r="F135">
        <v>1</v>
      </c>
      <c r="G135">
        <v>0</v>
      </c>
      <c r="H135" s="1">
        <v>45624</v>
      </c>
      <c r="I135">
        <v>265.26</v>
      </c>
      <c r="J135" s="18">
        <f t="shared" ca="1" si="4"/>
        <v>46318.605158680555</v>
      </c>
    </row>
    <row r="136" spans="1:10" x14ac:dyDescent="0.35">
      <c r="A136" t="s">
        <v>28</v>
      </c>
      <c r="B136" t="s">
        <v>43</v>
      </c>
      <c r="C136" t="s">
        <v>11</v>
      </c>
      <c r="D136" t="s">
        <v>21</v>
      </c>
      <c r="E136">
        <v>894.55</v>
      </c>
      <c r="F136">
        <v>19</v>
      </c>
      <c r="G136">
        <v>0.2</v>
      </c>
      <c r="H136" s="1">
        <v>45625</v>
      </c>
      <c r="I136">
        <v>178.91</v>
      </c>
      <c r="J136" s="18">
        <f t="shared" ca="1" si="4"/>
        <v>46318.605158680555</v>
      </c>
    </row>
    <row r="137" spans="1:10" x14ac:dyDescent="0.35">
      <c r="A137" t="s">
        <v>25</v>
      </c>
      <c r="B137" t="s">
        <v>38</v>
      </c>
      <c r="C137" t="s">
        <v>24</v>
      </c>
      <c r="D137" t="s">
        <v>39</v>
      </c>
      <c r="E137">
        <v>833.91</v>
      </c>
      <c r="F137">
        <v>3</v>
      </c>
      <c r="G137">
        <v>0.05</v>
      </c>
      <c r="H137" s="1">
        <v>45626</v>
      </c>
      <c r="I137">
        <v>356.5</v>
      </c>
      <c r="J137" s="18">
        <f t="shared" ca="1" si="4"/>
        <v>46318.605158680555</v>
      </c>
    </row>
    <row r="138" spans="1:10" x14ac:dyDescent="0.35">
      <c r="A138" t="s">
        <v>58</v>
      </c>
      <c r="B138" t="s">
        <v>71</v>
      </c>
      <c r="C138" t="s">
        <v>11</v>
      </c>
      <c r="D138" t="s">
        <v>27</v>
      </c>
      <c r="E138">
        <v>820.19</v>
      </c>
      <c r="F138">
        <v>4</v>
      </c>
      <c r="G138">
        <v>0.2</v>
      </c>
      <c r="H138" s="1">
        <v>45630</v>
      </c>
      <c r="I138">
        <v>229.65</v>
      </c>
      <c r="J138" s="18">
        <f t="shared" ca="1" si="4"/>
        <v>46318.605158680555</v>
      </c>
    </row>
    <row r="139" spans="1:10" x14ac:dyDescent="0.35">
      <c r="A139" t="s">
        <v>58</v>
      </c>
      <c r="B139" t="s">
        <v>38</v>
      </c>
      <c r="C139" t="s">
        <v>34</v>
      </c>
      <c r="D139" t="s">
        <v>21</v>
      </c>
      <c r="E139">
        <v>511.74</v>
      </c>
      <c r="F139">
        <v>8</v>
      </c>
      <c r="G139">
        <v>0.05</v>
      </c>
      <c r="H139" s="1">
        <v>45631</v>
      </c>
      <c r="I139">
        <v>121.54</v>
      </c>
      <c r="J139" s="18">
        <f t="shared" ca="1" si="4"/>
        <v>46318.605158680555</v>
      </c>
    </row>
    <row r="140" spans="1:10" x14ac:dyDescent="0.35">
      <c r="A140" t="s">
        <v>65</v>
      </c>
      <c r="B140" t="s">
        <v>61</v>
      </c>
      <c r="C140" t="s">
        <v>20</v>
      </c>
      <c r="D140" t="s">
        <v>27</v>
      </c>
      <c r="E140">
        <v>806.03</v>
      </c>
      <c r="F140">
        <v>19</v>
      </c>
      <c r="G140">
        <v>0.05</v>
      </c>
      <c r="H140" s="1">
        <v>45638</v>
      </c>
      <c r="I140">
        <v>268</v>
      </c>
      <c r="J140" s="18">
        <f t="shared" ca="1" si="4"/>
        <v>46318.605158680555</v>
      </c>
    </row>
    <row r="141" spans="1:10" x14ac:dyDescent="0.35">
      <c r="A141" t="s">
        <v>28</v>
      </c>
      <c r="B141" t="s">
        <v>26</v>
      </c>
      <c r="C141" t="s">
        <v>34</v>
      </c>
      <c r="D141" t="s">
        <v>27</v>
      </c>
      <c r="E141">
        <v>1432.47</v>
      </c>
      <c r="F141">
        <v>16</v>
      </c>
      <c r="G141">
        <v>0.15</v>
      </c>
      <c r="H141" s="1">
        <v>45640</v>
      </c>
      <c r="I141">
        <v>426.16</v>
      </c>
      <c r="J141" s="18">
        <f t="shared" ca="1" si="4"/>
        <v>46318.605158680555</v>
      </c>
    </row>
    <row r="142" spans="1:10" x14ac:dyDescent="0.35">
      <c r="A142" t="s">
        <v>74</v>
      </c>
      <c r="B142" t="s">
        <v>29</v>
      </c>
      <c r="C142" t="s">
        <v>34</v>
      </c>
      <c r="D142" t="s">
        <v>21</v>
      </c>
      <c r="E142">
        <v>1488.58</v>
      </c>
      <c r="F142">
        <v>10</v>
      </c>
      <c r="G142">
        <v>0.15</v>
      </c>
      <c r="H142" s="1">
        <v>45640</v>
      </c>
      <c r="I142">
        <v>316.32</v>
      </c>
      <c r="J142" s="18">
        <f t="shared" ca="1" si="4"/>
        <v>46318.605158680555</v>
      </c>
    </row>
    <row r="143" spans="1:10" x14ac:dyDescent="0.35">
      <c r="A143" t="s">
        <v>30</v>
      </c>
      <c r="B143" t="s">
        <v>66</v>
      </c>
      <c r="C143" t="s">
        <v>18</v>
      </c>
      <c r="D143" t="s">
        <v>12</v>
      </c>
      <c r="E143">
        <v>1231.26</v>
      </c>
      <c r="F143">
        <v>9</v>
      </c>
      <c r="G143">
        <v>0</v>
      </c>
      <c r="H143" s="1">
        <v>45646</v>
      </c>
      <c r="I143">
        <v>492.5</v>
      </c>
      <c r="J143" s="18">
        <f t="shared" ca="1" si="4"/>
        <v>46318.605158680555</v>
      </c>
    </row>
    <row r="144" spans="1:10" x14ac:dyDescent="0.35">
      <c r="A144" t="s">
        <v>30</v>
      </c>
      <c r="B144" t="s">
        <v>43</v>
      </c>
      <c r="C144" t="s">
        <v>11</v>
      </c>
      <c r="D144" t="s">
        <v>21</v>
      </c>
      <c r="E144">
        <v>1161.67</v>
      </c>
      <c r="F144">
        <v>19</v>
      </c>
      <c r="G144">
        <v>0.2</v>
      </c>
      <c r="H144" s="1">
        <v>45647</v>
      </c>
      <c r="I144">
        <v>232.33</v>
      </c>
      <c r="J144" s="18">
        <f t="shared" ca="1" si="4"/>
        <v>46318.605158680555</v>
      </c>
    </row>
    <row r="145" spans="1:10" x14ac:dyDescent="0.35">
      <c r="A145" t="s">
        <v>49</v>
      </c>
      <c r="B145" t="s">
        <v>45</v>
      </c>
      <c r="C145" t="s">
        <v>34</v>
      </c>
      <c r="D145" t="s">
        <v>39</v>
      </c>
      <c r="E145">
        <v>388.23</v>
      </c>
      <c r="F145">
        <v>16</v>
      </c>
      <c r="G145">
        <v>0.05</v>
      </c>
      <c r="H145" s="1">
        <v>45650</v>
      </c>
      <c r="I145">
        <v>165.97</v>
      </c>
      <c r="J145" s="18">
        <f t="shared" ca="1" si="4"/>
        <v>46318.605158680555</v>
      </c>
    </row>
    <row r="146" spans="1:10" x14ac:dyDescent="0.35">
      <c r="A146" t="s">
        <v>72</v>
      </c>
      <c r="B146" t="s">
        <v>31</v>
      </c>
      <c r="C146" t="s">
        <v>24</v>
      </c>
      <c r="D146" t="s">
        <v>15</v>
      </c>
      <c r="E146">
        <v>1589.42</v>
      </c>
      <c r="F146">
        <v>6</v>
      </c>
      <c r="G146">
        <v>0.15</v>
      </c>
      <c r="H146" s="1">
        <v>45651</v>
      </c>
      <c r="I146">
        <v>675.5</v>
      </c>
      <c r="J146" s="18">
        <f t="shared" ca="1" si="4"/>
        <v>46318.605158680555</v>
      </c>
    </row>
    <row r="147" spans="1:10" x14ac:dyDescent="0.35">
      <c r="A147" t="s">
        <v>28</v>
      </c>
      <c r="B147" t="s">
        <v>71</v>
      </c>
      <c r="C147" t="s">
        <v>24</v>
      </c>
      <c r="D147" t="s">
        <v>15</v>
      </c>
      <c r="E147">
        <v>336.66</v>
      </c>
      <c r="F147">
        <v>13</v>
      </c>
      <c r="G147">
        <v>0.2</v>
      </c>
      <c r="H147" s="1">
        <v>45651</v>
      </c>
      <c r="I147">
        <v>134.66</v>
      </c>
      <c r="J147" s="18">
        <f t="shared" ca="1" si="4"/>
        <v>46318.605158680555</v>
      </c>
    </row>
    <row r="148" spans="1:10" x14ac:dyDescent="0.35">
      <c r="A148" t="s">
        <v>49</v>
      </c>
      <c r="B148" t="s">
        <v>23</v>
      </c>
      <c r="C148" t="s">
        <v>11</v>
      </c>
      <c r="D148" t="s">
        <v>12</v>
      </c>
      <c r="E148">
        <v>1353.79</v>
      </c>
      <c r="F148">
        <v>14</v>
      </c>
      <c r="G148">
        <v>0.1</v>
      </c>
      <c r="H148" s="1">
        <v>45656</v>
      </c>
      <c r="I148">
        <v>487.36</v>
      </c>
      <c r="J148" s="18">
        <f t="shared" ca="1" si="4"/>
        <v>46318.605158680555</v>
      </c>
    </row>
    <row r="149" spans="1:10" x14ac:dyDescent="0.35">
      <c r="A149" t="s">
        <v>63</v>
      </c>
      <c r="B149" t="s">
        <v>69</v>
      </c>
      <c r="C149" t="s">
        <v>34</v>
      </c>
      <c r="D149" t="s">
        <v>15</v>
      </c>
      <c r="E149">
        <v>662.61</v>
      </c>
      <c r="F149">
        <v>11</v>
      </c>
      <c r="G149">
        <v>0.05</v>
      </c>
      <c r="H149" s="1">
        <v>45658</v>
      </c>
      <c r="I149">
        <v>314.74</v>
      </c>
      <c r="J149" s="18">
        <f t="shared" ca="1" si="4"/>
        <v>46318.605158680555</v>
      </c>
    </row>
    <row r="150" spans="1:10" x14ac:dyDescent="0.35">
      <c r="A150" t="s">
        <v>52</v>
      </c>
      <c r="B150" t="s">
        <v>48</v>
      </c>
      <c r="C150" t="s">
        <v>24</v>
      </c>
      <c r="D150" t="s">
        <v>39</v>
      </c>
      <c r="E150">
        <v>309.42</v>
      </c>
      <c r="F150">
        <v>1</v>
      </c>
      <c r="G150">
        <v>0.2</v>
      </c>
      <c r="H150" s="1">
        <v>45658</v>
      </c>
      <c r="I150">
        <v>111.39</v>
      </c>
      <c r="J150" s="18">
        <f t="shared" ca="1" si="4"/>
        <v>46318.605158680555</v>
      </c>
    </row>
    <row r="151" spans="1:10" x14ac:dyDescent="0.35">
      <c r="A151" t="s">
        <v>63</v>
      </c>
      <c r="B151" t="s">
        <v>29</v>
      </c>
      <c r="C151" t="s">
        <v>24</v>
      </c>
      <c r="D151" t="s">
        <v>12</v>
      </c>
      <c r="E151">
        <v>884.63</v>
      </c>
      <c r="F151">
        <v>18</v>
      </c>
      <c r="G151">
        <v>0.1</v>
      </c>
      <c r="H151" s="1">
        <v>45659</v>
      </c>
      <c r="I151">
        <v>318.47000000000003</v>
      </c>
      <c r="J151" s="18">
        <f t="shared" ca="1" si="4"/>
        <v>46318.605158680555</v>
      </c>
    </row>
    <row r="152" spans="1:10" x14ac:dyDescent="0.35">
      <c r="A152" t="s">
        <v>52</v>
      </c>
      <c r="B152" t="s">
        <v>23</v>
      </c>
      <c r="C152" t="s">
        <v>34</v>
      </c>
      <c r="D152" t="s">
        <v>39</v>
      </c>
      <c r="E152">
        <v>745.05</v>
      </c>
      <c r="F152">
        <v>10</v>
      </c>
      <c r="G152">
        <v>0.1</v>
      </c>
      <c r="H152" s="1">
        <v>45660</v>
      </c>
      <c r="I152">
        <v>301.75</v>
      </c>
      <c r="J152" s="18">
        <f t="shared" ca="1" si="4"/>
        <v>46318.605158680555</v>
      </c>
    </row>
    <row r="153" spans="1:10" x14ac:dyDescent="0.35">
      <c r="A153" t="s">
        <v>60</v>
      </c>
      <c r="B153" t="s">
        <v>17</v>
      </c>
      <c r="C153" t="s">
        <v>20</v>
      </c>
      <c r="D153" t="s">
        <v>15</v>
      </c>
      <c r="E153">
        <v>870.23</v>
      </c>
      <c r="F153">
        <v>5</v>
      </c>
      <c r="G153">
        <v>0.05</v>
      </c>
      <c r="H153" s="1">
        <v>45660</v>
      </c>
      <c r="I153">
        <v>413.36</v>
      </c>
      <c r="J153" s="18">
        <f t="shared" ca="1" si="4"/>
        <v>46318.605158680555</v>
      </c>
    </row>
    <row r="154" spans="1:10" x14ac:dyDescent="0.35">
      <c r="A154" t="s">
        <v>35</v>
      </c>
      <c r="B154" t="s">
        <v>29</v>
      </c>
      <c r="C154" t="s">
        <v>11</v>
      </c>
      <c r="D154" t="s">
        <v>27</v>
      </c>
      <c r="E154">
        <v>862.19</v>
      </c>
      <c r="F154">
        <v>18</v>
      </c>
      <c r="G154">
        <v>0.05</v>
      </c>
      <c r="H154" s="1">
        <v>45663</v>
      </c>
      <c r="I154">
        <v>286.68</v>
      </c>
      <c r="J154" s="18">
        <f t="shared" ca="1" si="4"/>
        <v>46318.605158680555</v>
      </c>
    </row>
    <row r="155" spans="1:10" x14ac:dyDescent="0.35">
      <c r="A155" t="s">
        <v>73</v>
      </c>
      <c r="B155" t="s">
        <v>59</v>
      </c>
      <c r="C155" t="s">
        <v>24</v>
      </c>
      <c r="D155" t="s">
        <v>15</v>
      </c>
      <c r="E155">
        <v>1171.18</v>
      </c>
      <c r="F155">
        <v>19</v>
      </c>
      <c r="G155">
        <v>0.05</v>
      </c>
      <c r="H155" s="1">
        <v>45667</v>
      </c>
      <c r="I155">
        <v>556.30999999999995</v>
      </c>
      <c r="J155" s="18">
        <f t="shared" ca="1" si="4"/>
        <v>46318.605158680555</v>
      </c>
    </row>
    <row r="156" spans="1:10" x14ac:dyDescent="0.35">
      <c r="A156" t="s">
        <v>58</v>
      </c>
      <c r="B156" t="s">
        <v>14</v>
      </c>
      <c r="C156" t="s">
        <v>20</v>
      </c>
      <c r="D156" t="s">
        <v>27</v>
      </c>
      <c r="E156">
        <v>1054.56</v>
      </c>
      <c r="F156">
        <v>11</v>
      </c>
      <c r="G156">
        <v>0.1</v>
      </c>
      <c r="H156" s="1">
        <v>45669</v>
      </c>
      <c r="I156">
        <v>332.19</v>
      </c>
      <c r="J156" s="18">
        <f t="shared" ca="1" si="4"/>
        <v>46318.605158680555</v>
      </c>
    </row>
    <row r="157" spans="1:10" x14ac:dyDescent="0.35">
      <c r="A157" t="s">
        <v>58</v>
      </c>
      <c r="B157" t="s">
        <v>23</v>
      </c>
      <c r="C157" t="s">
        <v>24</v>
      </c>
      <c r="D157" t="s">
        <v>21</v>
      </c>
      <c r="E157">
        <v>1681.21</v>
      </c>
      <c r="F157">
        <v>5</v>
      </c>
      <c r="G157">
        <v>0.2</v>
      </c>
      <c r="H157" s="1">
        <v>45670</v>
      </c>
      <c r="I157">
        <v>336.24</v>
      </c>
      <c r="J157" s="18">
        <f t="shared" ca="1" si="4"/>
        <v>46318.605158680555</v>
      </c>
    </row>
    <row r="158" spans="1:10" x14ac:dyDescent="0.35">
      <c r="A158" t="s">
        <v>58</v>
      </c>
      <c r="B158" t="s">
        <v>36</v>
      </c>
      <c r="C158" t="s">
        <v>11</v>
      </c>
      <c r="D158" t="s">
        <v>15</v>
      </c>
      <c r="E158">
        <v>379.77</v>
      </c>
      <c r="F158">
        <v>9</v>
      </c>
      <c r="G158">
        <v>0.05</v>
      </c>
      <c r="H158" s="1">
        <v>45673</v>
      </c>
      <c r="I158">
        <v>180.39</v>
      </c>
      <c r="J158" s="18">
        <f t="shared" ca="1" si="4"/>
        <v>46318.605158680555</v>
      </c>
    </row>
    <row r="159" spans="1:10" x14ac:dyDescent="0.35">
      <c r="A159" t="s">
        <v>44</v>
      </c>
      <c r="B159" t="s">
        <v>45</v>
      </c>
      <c r="C159" t="s">
        <v>34</v>
      </c>
      <c r="D159" t="s">
        <v>15</v>
      </c>
      <c r="E159">
        <v>1076.33</v>
      </c>
      <c r="F159">
        <v>2</v>
      </c>
      <c r="G159">
        <v>0.1</v>
      </c>
      <c r="H159" s="1">
        <v>45674</v>
      </c>
      <c r="I159">
        <v>484.35</v>
      </c>
      <c r="J159" s="18">
        <f t="shared" ca="1" si="4"/>
        <v>46318.605158680555</v>
      </c>
    </row>
    <row r="160" spans="1:10" x14ac:dyDescent="0.35">
      <c r="A160" t="s">
        <v>44</v>
      </c>
      <c r="B160" t="s">
        <v>31</v>
      </c>
      <c r="C160" t="s">
        <v>34</v>
      </c>
      <c r="D160" t="s">
        <v>39</v>
      </c>
      <c r="E160">
        <v>1250.71</v>
      </c>
      <c r="F160">
        <v>7</v>
      </c>
      <c r="G160">
        <v>0</v>
      </c>
      <c r="H160" s="1">
        <v>45674</v>
      </c>
      <c r="I160">
        <v>562.82000000000005</v>
      </c>
      <c r="J160" s="18">
        <f t="shared" ca="1" si="4"/>
        <v>46318.605158680555</v>
      </c>
    </row>
    <row r="161" spans="1:10" x14ac:dyDescent="0.35">
      <c r="A161" t="s">
        <v>40</v>
      </c>
      <c r="B161" t="s">
        <v>17</v>
      </c>
      <c r="C161" t="s">
        <v>20</v>
      </c>
      <c r="D161" t="s">
        <v>15</v>
      </c>
      <c r="E161">
        <v>1118.3399999999999</v>
      </c>
      <c r="F161">
        <v>6</v>
      </c>
      <c r="G161">
        <v>0.2</v>
      </c>
      <c r="H161" s="1">
        <v>45674</v>
      </c>
      <c r="I161">
        <v>447.34</v>
      </c>
      <c r="J161" s="18">
        <f t="shared" ca="1" si="4"/>
        <v>46318.605158680555</v>
      </c>
    </row>
    <row r="162" spans="1:10" x14ac:dyDescent="0.35">
      <c r="A162" t="s">
        <v>70</v>
      </c>
      <c r="B162" t="s">
        <v>53</v>
      </c>
      <c r="C162" t="s">
        <v>24</v>
      </c>
      <c r="D162" t="s">
        <v>15</v>
      </c>
      <c r="E162">
        <v>1622.62</v>
      </c>
      <c r="F162">
        <v>12</v>
      </c>
      <c r="G162">
        <v>0.2</v>
      </c>
      <c r="H162" s="1">
        <v>45677</v>
      </c>
      <c r="I162">
        <v>649.04999999999995</v>
      </c>
      <c r="J162" s="18">
        <f t="shared" ref="J162:J193" ca="1" si="5">NOW()</f>
        <v>46318.605158680555</v>
      </c>
    </row>
    <row r="163" spans="1:10" x14ac:dyDescent="0.35">
      <c r="A163" t="s">
        <v>75</v>
      </c>
      <c r="B163" t="s">
        <v>48</v>
      </c>
      <c r="C163" t="s">
        <v>24</v>
      </c>
      <c r="D163" t="s">
        <v>12</v>
      </c>
      <c r="E163">
        <v>640.64</v>
      </c>
      <c r="F163">
        <v>11</v>
      </c>
      <c r="G163">
        <v>0.2</v>
      </c>
      <c r="H163" s="1">
        <v>45678</v>
      </c>
      <c r="I163">
        <v>205</v>
      </c>
      <c r="J163" s="18">
        <f t="shared" ca="1" si="5"/>
        <v>46318.605158680555</v>
      </c>
    </row>
    <row r="164" spans="1:10" x14ac:dyDescent="0.35">
      <c r="A164" t="s">
        <v>22</v>
      </c>
      <c r="B164" t="s">
        <v>43</v>
      </c>
      <c r="C164" t="s">
        <v>11</v>
      </c>
      <c r="D164" t="s">
        <v>15</v>
      </c>
      <c r="E164">
        <v>585.16</v>
      </c>
      <c r="F164">
        <v>17</v>
      </c>
      <c r="G164">
        <v>0.1</v>
      </c>
      <c r="H164" s="1">
        <v>45684</v>
      </c>
      <c r="I164">
        <v>263.32</v>
      </c>
      <c r="J164" s="18">
        <f t="shared" ca="1" si="5"/>
        <v>46318.605158680555</v>
      </c>
    </row>
    <row r="165" spans="1:10" x14ac:dyDescent="0.35">
      <c r="A165" t="s">
        <v>22</v>
      </c>
      <c r="B165" t="s">
        <v>31</v>
      </c>
      <c r="C165" t="s">
        <v>18</v>
      </c>
      <c r="D165" t="s">
        <v>15</v>
      </c>
      <c r="E165">
        <v>1109.98</v>
      </c>
      <c r="F165">
        <v>5</v>
      </c>
      <c r="G165">
        <v>0.2</v>
      </c>
      <c r="H165" s="1">
        <v>45690</v>
      </c>
      <c r="I165">
        <v>443.99</v>
      </c>
      <c r="J165" s="18">
        <f t="shared" ca="1" si="5"/>
        <v>46318.605158680555</v>
      </c>
    </row>
    <row r="166" spans="1:10" x14ac:dyDescent="0.35">
      <c r="A166" t="s">
        <v>58</v>
      </c>
      <c r="B166" t="s">
        <v>45</v>
      </c>
      <c r="C166" t="s">
        <v>18</v>
      </c>
      <c r="D166" t="s">
        <v>12</v>
      </c>
      <c r="E166">
        <v>1098.08</v>
      </c>
      <c r="F166">
        <v>9</v>
      </c>
      <c r="G166">
        <v>0.1</v>
      </c>
      <c r="H166" s="1">
        <v>45692</v>
      </c>
      <c r="I166">
        <v>395.31</v>
      </c>
      <c r="J166" s="18">
        <f t="shared" ca="1" si="5"/>
        <v>46318.605158680555</v>
      </c>
    </row>
    <row r="167" spans="1:10" x14ac:dyDescent="0.35">
      <c r="A167" t="s">
        <v>65</v>
      </c>
      <c r="B167" t="s">
        <v>48</v>
      </c>
      <c r="C167" t="s">
        <v>11</v>
      </c>
      <c r="D167" t="s">
        <v>39</v>
      </c>
      <c r="E167">
        <v>827.25</v>
      </c>
      <c r="F167">
        <v>7</v>
      </c>
      <c r="G167">
        <v>0.1</v>
      </c>
      <c r="H167" s="1">
        <v>45693</v>
      </c>
      <c r="I167">
        <v>335.04</v>
      </c>
      <c r="J167" s="18">
        <f t="shared" ca="1" si="5"/>
        <v>46318.605158680555</v>
      </c>
    </row>
    <row r="168" spans="1:10" x14ac:dyDescent="0.35">
      <c r="A168" t="s">
        <v>70</v>
      </c>
      <c r="B168" t="s">
        <v>29</v>
      </c>
      <c r="C168" t="s">
        <v>34</v>
      </c>
      <c r="D168" t="s">
        <v>15</v>
      </c>
      <c r="E168">
        <v>741.88</v>
      </c>
      <c r="F168">
        <v>16</v>
      </c>
      <c r="G168">
        <v>0.1</v>
      </c>
      <c r="H168" s="1">
        <v>45695</v>
      </c>
      <c r="I168">
        <v>333.85</v>
      </c>
      <c r="J168" s="18">
        <f t="shared" ca="1" si="5"/>
        <v>46318.605158680555</v>
      </c>
    </row>
    <row r="169" spans="1:10" x14ac:dyDescent="0.35">
      <c r="A169" t="s">
        <v>72</v>
      </c>
      <c r="B169" t="s">
        <v>10</v>
      </c>
      <c r="C169" t="s">
        <v>18</v>
      </c>
      <c r="D169" t="s">
        <v>39</v>
      </c>
      <c r="E169">
        <v>1311.26</v>
      </c>
      <c r="F169">
        <v>6</v>
      </c>
      <c r="G169">
        <v>0.1</v>
      </c>
      <c r="H169" s="1">
        <v>45698</v>
      </c>
      <c r="I169">
        <v>531.05999999999995</v>
      </c>
      <c r="J169" s="18">
        <f t="shared" ca="1" si="5"/>
        <v>46318.605158680555</v>
      </c>
    </row>
    <row r="170" spans="1:10" x14ac:dyDescent="0.35">
      <c r="A170" t="s">
        <v>72</v>
      </c>
      <c r="B170" t="s">
        <v>31</v>
      </c>
      <c r="C170" t="s">
        <v>20</v>
      </c>
      <c r="D170" t="s">
        <v>39</v>
      </c>
      <c r="E170">
        <v>573.32000000000005</v>
      </c>
      <c r="F170">
        <v>19</v>
      </c>
      <c r="G170">
        <v>0.1</v>
      </c>
      <c r="H170" s="1">
        <v>45703</v>
      </c>
      <c r="I170">
        <v>232.19</v>
      </c>
      <c r="J170" s="18">
        <f t="shared" ca="1" si="5"/>
        <v>46318.605158680555</v>
      </c>
    </row>
    <row r="171" spans="1:10" x14ac:dyDescent="0.35">
      <c r="A171" t="s">
        <v>52</v>
      </c>
      <c r="B171" t="s">
        <v>23</v>
      </c>
      <c r="C171" t="s">
        <v>11</v>
      </c>
      <c r="D171" t="s">
        <v>21</v>
      </c>
      <c r="E171">
        <v>1115.22</v>
      </c>
      <c r="F171">
        <v>14</v>
      </c>
      <c r="G171">
        <v>0.2</v>
      </c>
      <c r="H171" s="1">
        <v>45705</v>
      </c>
      <c r="I171">
        <v>223.04</v>
      </c>
      <c r="J171" s="18">
        <f t="shared" ca="1" si="5"/>
        <v>46318.605158680555</v>
      </c>
    </row>
    <row r="172" spans="1:10" x14ac:dyDescent="0.35">
      <c r="A172" t="s">
        <v>13</v>
      </c>
      <c r="B172" t="s">
        <v>45</v>
      </c>
      <c r="C172" t="s">
        <v>24</v>
      </c>
      <c r="D172" t="s">
        <v>15</v>
      </c>
      <c r="E172">
        <v>845.84</v>
      </c>
      <c r="F172">
        <v>4</v>
      </c>
      <c r="G172">
        <v>0</v>
      </c>
      <c r="H172" s="1">
        <v>45707</v>
      </c>
      <c r="I172">
        <v>422.92</v>
      </c>
      <c r="J172" s="18">
        <f t="shared" ca="1" si="5"/>
        <v>46318.605158680555</v>
      </c>
    </row>
    <row r="173" spans="1:10" x14ac:dyDescent="0.35">
      <c r="A173" t="s">
        <v>30</v>
      </c>
      <c r="B173" t="s">
        <v>55</v>
      </c>
      <c r="C173" t="s">
        <v>11</v>
      </c>
      <c r="D173" t="s">
        <v>21</v>
      </c>
      <c r="E173">
        <v>1029.8</v>
      </c>
      <c r="F173">
        <v>3</v>
      </c>
      <c r="G173">
        <v>0</v>
      </c>
      <c r="H173" s="1">
        <v>45708</v>
      </c>
      <c r="I173">
        <v>257.45</v>
      </c>
      <c r="J173" s="18">
        <f t="shared" ca="1" si="5"/>
        <v>46318.605158680555</v>
      </c>
    </row>
    <row r="174" spans="1:10" x14ac:dyDescent="0.35">
      <c r="A174" t="s">
        <v>32</v>
      </c>
      <c r="B174" t="s">
        <v>31</v>
      </c>
      <c r="C174" t="s">
        <v>24</v>
      </c>
      <c r="D174" t="s">
        <v>12</v>
      </c>
      <c r="E174">
        <v>1189.83</v>
      </c>
      <c r="F174">
        <v>2</v>
      </c>
      <c r="G174">
        <v>0.2</v>
      </c>
      <c r="H174" s="1">
        <v>45709</v>
      </c>
      <c r="I174">
        <v>380.75</v>
      </c>
      <c r="J174" s="18">
        <f t="shared" ca="1" si="5"/>
        <v>46318.605158680555</v>
      </c>
    </row>
    <row r="175" spans="1:10" x14ac:dyDescent="0.35">
      <c r="A175" t="s">
        <v>67</v>
      </c>
      <c r="B175" t="s">
        <v>43</v>
      </c>
      <c r="C175" t="s">
        <v>20</v>
      </c>
      <c r="D175" t="s">
        <v>12</v>
      </c>
      <c r="E175">
        <v>704.28</v>
      </c>
      <c r="F175">
        <v>15</v>
      </c>
      <c r="G175">
        <v>0.2</v>
      </c>
      <c r="H175" s="1">
        <v>45712</v>
      </c>
      <c r="I175">
        <v>225.37</v>
      </c>
      <c r="J175" s="18">
        <f t="shared" ca="1" si="5"/>
        <v>46318.605158680555</v>
      </c>
    </row>
    <row r="176" spans="1:10" x14ac:dyDescent="0.35">
      <c r="A176" t="s">
        <v>65</v>
      </c>
      <c r="B176" t="s">
        <v>47</v>
      </c>
      <c r="C176" t="s">
        <v>34</v>
      </c>
      <c r="D176" t="s">
        <v>39</v>
      </c>
      <c r="E176">
        <v>1618.22</v>
      </c>
      <c r="F176">
        <v>12</v>
      </c>
      <c r="G176">
        <v>0.2</v>
      </c>
      <c r="H176" s="1">
        <v>45712</v>
      </c>
      <c r="I176">
        <v>582.55999999999995</v>
      </c>
      <c r="J176" s="18">
        <f t="shared" ca="1" si="5"/>
        <v>46318.605158680555</v>
      </c>
    </row>
    <row r="177" spans="1:10" x14ac:dyDescent="0.35">
      <c r="A177" t="s">
        <v>73</v>
      </c>
      <c r="B177" t="s">
        <v>53</v>
      </c>
      <c r="C177" t="s">
        <v>34</v>
      </c>
      <c r="D177" t="s">
        <v>12</v>
      </c>
      <c r="E177">
        <v>1014.43</v>
      </c>
      <c r="F177">
        <v>2</v>
      </c>
      <c r="G177">
        <v>0.15</v>
      </c>
      <c r="H177" s="1">
        <v>45713</v>
      </c>
      <c r="I177">
        <v>344.91</v>
      </c>
      <c r="J177" s="18">
        <f t="shared" ca="1" si="5"/>
        <v>46318.605158680555</v>
      </c>
    </row>
    <row r="178" spans="1:10" x14ac:dyDescent="0.35">
      <c r="A178" t="s">
        <v>75</v>
      </c>
      <c r="B178" t="s">
        <v>31</v>
      </c>
      <c r="C178" t="s">
        <v>34</v>
      </c>
      <c r="D178" t="s">
        <v>15</v>
      </c>
      <c r="E178">
        <v>826.97</v>
      </c>
      <c r="F178">
        <v>18</v>
      </c>
      <c r="G178">
        <v>0.2</v>
      </c>
      <c r="H178" s="1">
        <v>45715</v>
      </c>
      <c r="I178">
        <v>330.79</v>
      </c>
      <c r="J178" s="18">
        <f t="shared" ca="1" si="5"/>
        <v>46318.605158680555</v>
      </c>
    </row>
    <row r="179" spans="1:10" x14ac:dyDescent="0.35">
      <c r="A179" t="s">
        <v>16</v>
      </c>
      <c r="B179" t="s">
        <v>31</v>
      </c>
      <c r="C179" t="s">
        <v>34</v>
      </c>
      <c r="D179" t="s">
        <v>15</v>
      </c>
      <c r="E179">
        <v>1022.23</v>
      </c>
      <c r="F179">
        <v>8</v>
      </c>
      <c r="G179">
        <v>0.1</v>
      </c>
      <c r="H179" s="1">
        <v>45717</v>
      </c>
      <c r="I179">
        <v>460</v>
      </c>
      <c r="J179" s="18">
        <f t="shared" ca="1" si="5"/>
        <v>46318.605158680555</v>
      </c>
    </row>
    <row r="180" spans="1:10" x14ac:dyDescent="0.35">
      <c r="A180" t="s">
        <v>72</v>
      </c>
      <c r="B180" t="s">
        <v>29</v>
      </c>
      <c r="C180" t="s">
        <v>18</v>
      </c>
      <c r="D180" t="s">
        <v>12</v>
      </c>
      <c r="E180">
        <v>1099.69</v>
      </c>
      <c r="F180">
        <v>6</v>
      </c>
      <c r="G180">
        <v>0</v>
      </c>
      <c r="H180" s="1">
        <v>45718</v>
      </c>
      <c r="I180">
        <v>439.88</v>
      </c>
      <c r="J180" s="18">
        <f t="shared" ca="1" si="5"/>
        <v>46318.605158680555</v>
      </c>
    </row>
    <row r="181" spans="1:10" x14ac:dyDescent="0.35">
      <c r="A181" t="s">
        <v>52</v>
      </c>
      <c r="B181" t="s">
        <v>64</v>
      </c>
      <c r="C181" t="s">
        <v>24</v>
      </c>
      <c r="D181" t="s">
        <v>12</v>
      </c>
      <c r="E181">
        <v>710.52</v>
      </c>
      <c r="F181">
        <v>8</v>
      </c>
      <c r="G181">
        <v>0.1</v>
      </c>
      <c r="H181" s="1">
        <v>45721</v>
      </c>
      <c r="I181">
        <v>255.79</v>
      </c>
      <c r="J181" s="18">
        <f t="shared" ca="1" si="5"/>
        <v>46318.605158680555</v>
      </c>
    </row>
    <row r="182" spans="1:10" x14ac:dyDescent="0.35">
      <c r="A182" t="s">
        <v>52</v>
      </c>
      <c r="B182" t="s">
        <v>59</v>
      </c>
      <c r="C182" t="s">
        <v>24</v>
      </c>
      <c r="D182" t="s">
        <v>12</v>
      </c>
      <c r="E182">
        <v>499.18</v>
      </c>
      <c r="F182">
        <v>15</v>
      </c>
      <c r="G182">
        <v>0.2</v>
      </c>
      <c r="H182" s="1">
        <v>45724</v>
      </c>
      <c r="I182">
        <v>159.74</v>
      </c>
      <c r="J182" s="18">
        <f t="shared" ca="1" si="5"/>
        <v>46318.605158680555</v>
      </c>
    </row>
    <row r="183" spans="1:10" x14ac:dyDescent="0.35">
      <c r="A183" t="s">
        <v>37</v>
      </c>
      <c r="B183" t="s">
        <v>38</v>
      </c>
      <c r="C183" t="s">
        <v>20</v>
      </c>
      <c r="D183" t="s">
        <v>12</v>
      </c>
      <c r="E183">
        <v>1064.19</v>
      </c>
      <c r="F183">
        <v>18</v>
      </c>
      <c r="G183">
        <v>0.05</v>
      </c>
      <c r="H183" s="1">
        <v>45725</v>
      </c>
      <c r="I183">
        <v>404.39</v>
      </c>
      <c r="J183" s="18">
        <f t="shared" ca="1" si="5"/>
        <v>46318.605158680555</v>
      </c>
    </row>
    <row r="184" spans="1:10" x14ac:dyDescent="0.35">
      <c r="A184" t="s">
        <v>67</v>
      </c>
      <c r="B184" t="s">
        <v>38</v>
      </c>
      <c r="C184" t="s">
        <v>18</v>
      </c>
      <c r="D184" t="s">
        <v>39</v>
      </c>
      <c r="E184">
        <v>438.76</v>
      </c>
      <c r="F184">
        <v>18</v>
      </c>
      <c r="G184">
        <v>0.05</v>
      </c>
      <c r="H184" s="1">
        <v>45726</v>
      </c>
      <c r="I184">
        <v>187.57</v>
      </c>
      <c r="J184" s="18">
        <f t="shared" ca="1" si="5"/>
        <v>46318.605158680555</v>
      </c>
    </row>
    <row r="185" spans="1:10" x14ac:dyDescent="0.35">
      <c r="A185" t="s">
        <v>41</v>
      </c>
      <c r="B185" t="s">
        <v>55</v>
      </c>
      <c r="C185" t="s">
        <v>11</v>
      </c>
      <c r="D185" t="s">
        <v>15</v>
      </c>
      <c r="E185">
        <v>864.98</v>
      </c>
      <c r="F185">
        <v>2</v>
      </c>
      <c r="G185">
        <v>0.05</v>
      </c>
      <c r="H185" s="1">
        <v>45727</v>
      </c>
      <c r="I185">
        <v>410.87</v>
      </c>
      <c r="J185" s="18">
        <f t="shared" ca="1" si="5"/>
        <v>46318.605158680555</v>
      </c>
    </row>
    <row r="186" spans="1:10" x14ac:dyDescent="0.35">
      <c r="A186" t="s">
        <v>57</v>
      </c>
      <c r="B186" t="s">
        <v>55</v>
      </c>
      <c r="C186" t="s">
        <v>11</v>
      </c>
      <c r="D186" t="s">
        <v>27</v>
      </c>
      <c r="E186">
        <v>984.93</v>
      </c>
      <c r="F186">
        <v>14</v>
      </c>
      <c r="G186">
        <v>0.2</v>
      </c>
      <c r="H186" s="1">
        <v>45733</v>
      </c>
      <c r="I186">
        <v>275.77999999999997</v>
      </c>
      <c r="J186" s="18">
        <f t="shared" ca="1" si="5"/>
        <v>46318.605158680555</v>
      </c>
    </row>
    <row r="187" spans="1:10" x14ac:dyDescent="0.35">
      <c r="A187" t="s">
        <v>25</v>
      </c>
      <c r="B187" t="s">
        <v>55</v>
      </c>
      <c r="C187" t="s">
        <v>11</v>
      </c>
      <c r="D187" t="s">
        <v>15</v>
      </c>
      <c r="E187">
        <v>1493.49</v>
      </c>
      <c r="F187">
        <v>18</v>
      </c>
      <c r="G187">
        <v>0</v>
      </c>
      <c r="H187" s="1">
        <v>45734</v>
      </c>
      <c r="I187">
        <v>746.74</v>
      </c>
      <c r="J187" s="18">
        <f t="shared" ca="1" si="5"/>
        <v>46318.605158680555</v>
      </c>
    </row>
    <row r="188" spans="1:10" x14ac:dyDescent="0.35">
      <c r="A188" t="s">
        <v>32</v>
      </c>
      <c r="B188" t="s">
        <v>53</v>
      </c>
      <c r="C188" t="s">
        <v>20</v>
      </c>
      <c r="D188" t="s">
        <v>15</v>
      </c>
      <c r="E188">
        <v>689.43</v>
      </c>
      <c r="F188">
        <v>9</v>
      </c>
      <c r="G188">
        <v>0.1</v>
      </c>
      <c r="H188" s="1">
        <v>45736</v>
      </c>
      <c r="I188">
        <v>310.24</v>
      </c>
      <c r="J188" s="18">
        <f t="shared" ca="1" si="5"/>
        <v>46318.605158680555</v>
      </c>
    </row>
    <row r="189" spans="1:10" x14ac:dyDescent="0.35">
      <c r="A189" t="s">
        <v>40</v>
      </c>
      <c r="B189" t="s">
        <v>59</v>
      </c>
      <c r="C189" t="s">
        <v>20</v>
      </c>
      <c r="D189" t="s">
        <v>15</v>
      </c>
      <c r="E189">
        <v>682.24</v>
      </c>
      <c r="F189">
        <v>1</v>
      </c>
      <c r="G189">
        <v>0</v>
      </c>
      <c r="H189" s="1">
        <v>45738</v>
      </c>
      <c r="I189">
        <v>341.12</v>
      </c>
      <c r="J189" s="18">
        <f t="shared" ca="1" si="5"/>
        <v>46318.605158680555</v>
      </c>
    </row>
    <row r="190" spans="1:10" x14ac:dyDescent="0.35">
      <c r="A190" t="s">
        <v>41</v>
      </c>
      <c r="B190" t="s">
        <v>26</v>
      </c>
      <c r="C190" t="s">
        <v>24</v>
      </c>
      <c r="D190" t="s">
        <v>21</v>
      </c>
      <c r="E190">
        <v>458.54</v>
      </c>
      <c r="F190">
        <v>15</v>
      </c>
      <c r="G190">
        <v>0.2</v>
      </c>
      <c r="H190" s="1">
        <v>45741</v>
      </c>
      <c r="I190">
        <v>91.71</v>
      </c>
      <c r="J190" s="18">
        <f t="shared" ca="1" si="5"/>
        <v>46318.605158680555</v>
      </c>
    </row>
    <row r="191" spans="1:10" x14ac:dyDescent="0.35">
      <c r="A191" t="s">
        <v>32</v>
      </c>
      <c r="B191" t="s">
        <v>26</v>
      </c>
      <c r="C191" t="s">
        <v>20</v>
      </c>
      <c r="D191" t="s">
        <v>27</v>
      </c>
      <c r="E191">
        <v>1184.25</v>
      </c>
      <c r="F191">
        <v>11</v>
      </c>
      <c r="G191">
        <v>0.2</v>
      </c>
      <c r="H191" s="1">
        <v>45742</v>
      </c>
      <c r="I191">
        <v>331.59</v>
      </c>
      <c r="J191" s="18">
        <f t="shared" ca="1" si="5"/>
        <v>46318.605158680555</v>
      </c>
    </row>
    <row r="192" spans="1:10" x14ac:dyDescent="0.35">
      <c r="A192" t="s">
        <v>25</v>
      </c>
      <c r="B192" t="s">
        <v>10</v>
      </c>
      <c r="C192" t="s">
        <v>20</v>
      </c>
      <c r="D192" t="s">
        <v>15</v>
      </c>
      <c r="E192">
        <v>762.14</v>
      </c>
      <c r="F192">
        <v>9</v>
      </c>
      <c r="G192">
        <v>0</v>
      </c>
      <c r="H192" s="1">
        <v>45743</v>
      </c>
      <c r="I192">
        <v>381.07</v>
      </c>
      <c r="J192" s="18">
        <f t="shared" ca="1" si="5"/>
        <v>46318.605158680555</v>
      </c>
    </row>
    <row r="193" spans="1:10" x14ac:dyDescent="0.35">
      <c r="A193" t="s">
        <v>22</v>
      </c>
      <c r="B193" t="s">
        <v>53</v>
      </c>
      <c r="C193" t="s">
        <v>24</v>
      </c>
      <c r="D193" t="s">
        <v>12</v>
      </c>
      <c r="E193">
        <v>750.71</v>
      </c>
      <c r="F193">
        <v>10</v>
      </c>
      <c r="G193">
        <v>0.15</v>
      </c>
      <c r="H193" s="1">
        <v>45743</v>
      </c>
      <c r="I193">
        <v>255.24</v>
      </c>
      <c r="J193" s="18">
        <f t="shared" ca="1" si="5"/>
        <v>46318.605158680555</v>
      </c>
    </row>
    <row r="194" spans="1:10" x14ac:dyDescent="0.35">
      <c r="A194" t="s">
        <v>75</v>
      </c>
      <c r="B194" t="s">
        <v>71</v>
      </c>
      <c r="C194" t="s">
        <v>34</v>
      </c>
      <c r="D194" t="s">
        <v>15</v>
      </c>
      <c r="E194">
        <v>1456.94</v>
      </c>
      <c r="F194">
        <v>14</v>
      </c>
      <c r="G194">
        <v>0.05</v>
      </c>
      <c r="H194" s="1">
        <v>45745</v>
      </c>
      <c r="I194">
        <v>692.05</v>
      </c>
      <c r="J194" s="18">
        <f t="shared" ref="J194:J201" ca="1" si="6">NOW()</f>
        <v>46318.605158680555</v>
      </c>
    </row>
    <row r="195" spans="1:10" x14ac:dyDescent="0.35">
      <c r="A195" t="s">
        <v>44</v>
      </c>
      <c r="B195" t="s">
        <v>61</v>
      </c>
      <c r="C195" t="s">
        <v>18</v>
      </c>
      <c r="D195" t="s">
        <v>27</v>
      </c>
      <c r="E195">
        <v>1093.3800000000001</v>
      </c>
      <c r="F195">
        <v>17</v>
      </c>
      <c r="G195">
        <v>0.1</v>
      </c>
      <c r="H195" s="1">
        <v>45745</v>
      </c>
      <c r="I195">
        <v>344.41</v>
      </c>
      <c r="J195" s="18">
        <f t="shared" ca="1" si="6"/>
        <v>46318.605158680555</v>
      </c>
    </row>
    <row r="196" spans="1:10" x14ac:dyDescent="0.35">
      <c r="A196" t="s">
        <v>37</v>
      </c>
      <c r="B196" t="s">
        <v>43</v>
      </c>
      <c r="C196" t="s">
        <v>11</v>
      </c>
      <c r="D196" t="s">
        <v>15</v>
      </c>
      <c r="E196">
        <v>934.27</v>
      </c>
      <c r="F196">
        <v>8</v>
      </c>
      <c r="G196">
        <v>0.15</v>
      </c>
      <c r="H196" s="1">
        <v>45746</v>
      </c>
      <c r="I196">
        <v>397.06</v>
      </c>
      <c r="J196" s="18">
        <f t="shared" ca="1" si="6"/>
        <v>46318.605158680555</v>
      </c>
    </row>
    <row r="197" spans="1:10" x14ac:dyDescent="0.35">
      <c r="A197" t="s">
        <v>70</v>
      </c>
      <c r="B197" t="s">
        <v>36</v>
      </c>
      <c r="C197" t="s">
        <v>34</v>
      </c>
      <c r="D197" t="s">
        <v>15</v>
      </c>
      <c r="E197">
        <v>1465.35</v>
      </c>
      <c r="F197">
        <v>8</v>
      </c>
      <c r="G197">
        <v>0.2</v>
      </c>
      <c r="H197" s="1">
        <v>45746</v>
      </c>
      <c r="I197">
        <v>586.14</v>
      </c>
      <c r="J197" s="18">
        <f t="shared" ca="1" si="6"/>
        <v>46318.605158680555</v>
      </c>
    </row>
    <row r="198" spans="1:10" x14ac:dyDescent="0.35">
      <c r="A198" t="s">
        <v>52</v>
      </c>
      <c r="B198" t="s">
        <v>14</v>
      </c>
      <c r="C198" t="s">
        <v>20</v>
      </c>
      <c r="D198" t="s">
        <v>39</v>
      </c>
      <c r="E198">
        <v>740.8</v>
      </c>
      <c r="F198">
        <v>3</v>
      </c>
      <c r="G198">
        <v>0</v>
      </c>
      <c r="H198" s="1">
        <v>45749</v>
      </c>
      <c r="I198">
        <v>333.36</v>
      </c>
      <c r="J198" s="18">
        <f t="shared" ca="1" si="6"/>
        <v>46318.605158680555</v>
      </c>
    </row>
    <row r="199" spans="1:10" x14ac:dyDescent="0.35">
      <c r="A199" t="s">
        <v>58</v>
      </c>
      <c r="B199" t="s">
        <v>43</v>
      </c>
      <c r="C199" t="s">
        <v>11</v>
      </c>
      <c r="D199" t="s">
        <v>39</v>
      </c>
      <c r="E199">
        <v>545.44000000000005</v>
      </c>
      <c r="F199">
        <v>17</v>
      </c>
      <c r="G199">
        <v>0</v>
      </c>
      <c r="H199" s="1">
        <v>45752</v>
      </c>
      <c r="I199">
        <v>245.45</v>
      </c>
      <c r="J199" s="18">
        <f t="shared" ca="1" si="6"/>
        <v>46318.605158680555</v>
      </c>
    </row>
    <row r="200" spans="1:10" x14ac:dyDescent="0.35">
      <c r="A200" t="s">
        <v>35</v>
      </c>
      <c r="B200" t="s">
        <v>36</v>
      </c>
      <c r="C200" t="s">
        <v>18</v>
      </c>
      <c r="D200" t="s">
        <v>12</v>
      </c>
      <c r="E200">
        <v>997.61</v>
      </c>
      <c r="F200">
        <v>8</v>
      </c>
      <c r="G200">
        <v>0.05</v>
      </c>
      <c r="H200" s="1">
        <v>45752</v>
      </c>
      <c r="I200">
        <v>379.09</v>
      </c>
      <c r="J200" s="18">
        <f t="shared" ca="1" si="6"/>
        <v>46318.605158680555</v>
      </c>
    </row>
    <row r="201" spans="1:10" x14ac:dyDescent="0.35">
      <c r="A201" t="s">
        <v>60</v>
      </c>
      <c r="B201" t="s">
        <v>36</v>
      </c>
      <c r="C201" t="s">
        <v>20</v>
      </c>
      <c r="D201" t="s">
        <v>15</v>
      </c>
      <c r="E201">
        <v>928.32</v>
      </c>
      <c r="F201">
        <v>2</v>
      </c>
      <c r="G201">
        <v>0.05</v>
      </c>
      <c r="H201" s="1">
        <v>45754</v>
      </c>
      <c r="I201">
        <v>440.95</v>
      </c>
      <c r="J201" s="18">
        <f t="shared" ca="1" si="6"/>
        <v>46318.605158680555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3922-7CAF-46DB-AE55-A5FAB205D412}">
  <dimension ref="A1:C31"/>
  <sheetViews>
    <sheetView topLeftCell="A20" workbookViewId="0">
      <selection activeCell="A2" sqref="A2:A31"/>
    </sheetView>
  </sheetViews>
  <sheetFormatPr defaultRowHeight="14.5" x14ac:dyDescent="0.35"/>
  <cols>
    <col min="1" max="1" width="11.81640625" bestFit="1" customWidth="1"/>
    <col min="2" max="2" width="16" bestFit="1" customWidth="1"/>
    <col min="3" max="3" width="13.36328125" bestFit="1" customWidth="1"/>
  </cols>
  <sheetData>
    <row r="1" spans="1:3" x14ac:dyDescent="0.35">
      <c r="A1" s="2" t="s">
        <v>0</v>
      </c>
      <c r="B1" s="3" t="s">
        <v>1</v>
      </c>
      <c r="C1" s="3" t="s">
        <v>76</v>
      </c>
    </row>
    <row r="2" spans="1:3" x14ac:dyDescent="0.35">
      <c r="A2" s="4" t="s">
        <v>9</v>
      </c>
      <c r="B2" s="5" t="s">
        <v>10</v>
      </c>
      <c r="C2" s="5">
        <f>SUMIF(sales_data!A2:A201,A2,sales_data!E2:E201)</f>
        <v>4640.1099999999997</v>
      </c>
    </row>
    <row r="3" spans="1:3" x14ac:dyDescent="0.35">
      <c r="A3" s="6" t="s">
        <v>13</v>
      </c>
      <c r="B3" s="7" t="s">
        <v>14</v>
      </c>
      <c r="C3" s="7">
        <f>SUMIF(sales_data!A3:A202,A3,sales_data!E3:E202)</f>
        <v>8339</v>
      </c>
    </row>
    <row r="4" spans="1:3" x14ac:dyDescent="0.35">
      <c r="A4" s="4" t="s">
        <v>16</v>
      </c>
      <c r="B4" s="5" t="s">
        <v>17</v>
      </c>
      <c r="C4" s="5">
        <f>SUMIF(sales_data!A4:A203,A4,sales_data!E4:E203)</f>
        <v>3419.2</v>
      </c>
    </row>
    <row r="5" spans="1:3" x14ac:dyDescent="0.35">
      <c r="A5" s="6" t="s">
        <v>19</v>
      </c>
      <c r="B5" s="7" t="s">
        <v>14</v>
      </c>
      <c r="C5" s="7">
        <f>SUMIF(sales_data!A5:A204,A5,sales_data!E5:E204)</f>
        <v>6666.130000000001</v>
      </c>
    </row>
    <row r="6" spans="1:3" x14ac:dyDescent="0.35">
      <c r="A6" s="4" t="s">
        <v>22</v>
      </c>
      <c r="B6" s="5" t="s">
        <v>23</v>
      </c>
      <c r="C6" s="5">
        <f>SUMIF(sales_data!A6:A205,A6,sales_data!E6:E205)</f>
        <v>7928.71</v>
      </c>
    </row>
    <row r="7" spans="1:3" x14ac:dyDescent="0.35">
      <c r="A7" s="6" t="s">
        <v>25</v>
      </c>
      <c r="B7" s="7" t="s">
        <v>26</v>
      </c>
      <c r="C7" s="7">
        <f>SUMIF(sales_data!A7:A206,A7,sales_data!E7:E206)</f>
        <v>9941.8799999999992</v>
      </c>
    </row>
    <row r="8" spans="1:3" x14ac:dyDescent="0.35">
      <c r="A8" s="4" t="s">
        <v>28</v>
      </c>
      <c r="B8" s="5" t="s">
        <v>29</v>
      </c>
      <c r="C8" s="5">
        <f>SUMIF(sales_data!A8:A207,A8,sales_data!E8:E207)</f>
        <v>6549.55</v>
      </c>
    </row>
    <row r="9" spans="1:3" x14ac:dyDescent="0.35">
      <c r="A9" s="6" t="s">
        <v>30</v>
      </c>
      <c r="B9" s="7" t="s">
        <v>31</v>
      </c>
      <c r="C9" s="7">
        <f>SUMIF(sales_data!A9:A208,A9,sales_data!E9:E208)</f>
        <v>9371.81</v>
      </c>
    </row>
    <row r="10" spans="1:3" x14ac:dyDescent="0.35">
      <c r="A10" s="4" t="s">
        <v>32</v>
      </c>
      <c r="B10" s="5" t="s">
        <v>33</v>
      </c>
      <c r="C10" s="5">
        <f>SUMIF(sales_data!A10:A209,A10,sales_data!E10:E209)</f>
        <v>6505.2</v>
      </c>
    </row>
    <row r="11" spans="1:3" x14ac:dyDescent="0.35">
      <c r="A11" s="6" t="s">
        <v>35</v>
      </c>
      <c r="B11" s="7" t="s">
        <v>36</v>
      </c>
      <c r="C11" s="7">
        <f>SUMIF(sales_data!A11:A210,A11,sales_data!E11:E210)</f>
        <v>4259.22</v>
      </c>
    </row>
    <row r="12" spans="1:3" x14ac:dyDescent="0.35">
      <c r="A12" s="4" t="s">
        <v>37</v>
      </c>
      <c r="B12" s="5" t="s">
        <v>38</v>
      </c>
      <c r="C12" s="5">
        <f>SUMIF(sales_data!A12:A211,A12,sales_data!E12:E211)</f>
        <v>6729.8899999999994</v>
      </c>
    </row>
    <row r="13" spans="1:3" x14ac:dyDescent="0.35">
      <c r="A13" s="6" t="s">
        <v>40</v>
      </c>
      <c r="B13" s="7" t="s">
        <v>14</v>
      </c>
      <c r="C13" s="7">
        <f>SUMIF(sales_data!A13:A212,A13,sales_data!E13:E212)</f>
        <v>5913.68</v>
      </c>
    </row>
    <row r="14" spans="1:3" x14ac:dyDescent="0.35">
      <c r="A14" s="4" t="s">
        <v>41</v>
      </c>
      <c r="B14" s="5" t="s">
        <v>42</v>
      </c>
      <c r="C14" s="5">
        <f>SUMIF(sales_data!A14:A213,A14,sales_data!E14:E213)</f>
        <v>5779.05</v>
      </c>
    </row>
    <row r="15" spans="1:3" x14ac:dyDescent="0.35">
      <c r="A15" s="4" t="s">
        <v>44</v>
      </c>
      <c r="B15" s="5" t="s">
        <v>14</v>
      </c>
      <c r="C15" s="7">
        <f>SUMIF(sales_data!A15:A214,A15,sales_data!E15:E214)</f>
        <v>9760.7999999999993</v>
      </c>
    </row>
    <row r="16" spans="1:3" x14ac:dyDescent="0.35">
      <c r="A16" s="4" t="s">
        <v>46</v>
      </c>
      <c r="B16" s="5" t="s">
        <v>47</v>
      </c>
      <c r="C16" s="5">
        <f>SUMIF(sales_data!A16:A215,A16,sales_data!E16:E215)</f>
        <v>2699.75</v>
      </c>
    </row>
    <row r="17" spans="1:3" x14ac:dyDescent="0.35">
      <c r="A17" s="6" t="s">
        <v>49</v>
      </c>
      <c r="B17" s="7" t="s">
        <v>14</v>
      </c>
      <c r="C17" s="7">
        <f>SUMIF(sales_data!A17:A216,A17,sales_data!E17:E216)</f>
        <v>4418.2800000000007</v>
      </c>
    </row>
    <row r="18" spans="1:3" x14ac:dyDescent="0.35">
      <c r="A18" s="4" t="s">
        <v>52</v>
      </c>
      <c r="B18" s="5" t="s">
        <v>53</v>
      </c>
      <c r="C18" s="5">
        <f>SUMIF(sales_data!A18:A217,A18,sales_data!E18:E217)</f>
        <v>10293.870000000001</v>
      </c>
    </row>
    <row r="19" spans="1:3" x14ac:dyDescent="0.35">
      <c r="A19" s="4" t="s">
        <v>54</v>
      </c>
      <c r="B19" s="5" t="s">
        <v>55</v>
      </c>
      <c r="C19" s="7">
        <f>SUMIF(sales_data!A19:A218,A19,sales_data!E19:E218)</f>
        <v>6716.52</v>
      </c>
    </row>
    <row r="20" spans="1:3" x14ac:dyDescent="0.35">
      <c r="A20" s="6" t="s">
        <v>57</v>
      </c>
      <c r="B20" s="7" t="s">
        <v>43</v>
      </c>
      <c r="C20" s="5">
        <f>SUMIF(sales_data!A20:A219,A20,sales_data!E20:E219)</f>
        <v>8740.18</v>
      </c>
    </row>
    <row r="21" spans="1:3" x14ac:dyDescent="0.35">
      <c r="A21" s="4" t="s">
        <v>58</v>
      </c>
      <c r="B21" s="5" t="s">
        <v>53</v>
      </c>
      <c r="C21" s="7">
        <f>SUMIF(sales_data!A21:A220,A21,sales_data!E21:E220)</f>
        <v>11611.060000000001</v>
      </c>
    </row>
    <row r="22" spans="1:3" x14ac:dyDescent="0.35">
      <c r="A22" s="6" t="s">
        <v>60</v>
      </c>
      <c r="B22" s="7" t="s">
        <v>61</v>
      </c>
      <c r="C22" s="5">
        <f>SUMIF(sales_data!A22:A221,A22,sales_data!E22:E221)</f>
        <v>3369.17</v>
      </c>
    </row>
    <row r="23" spans="1:3" x14ac:dyDescent="0.35">
      <c r="A23" s="6" t="s">
        <v>63</v>
      </c>
      <c r="B23" s="7" t="s">
        <v>31</v>
      </c>
      <c r="C23" s="7">
        <f>SUMIF(sales_data!A23:A222,A23,sales_data!E23:E222)</f>
        <v>3762.2900000000004</v>
      </c>
    </row>
    <row r="24" spans="1:3" x14ac:dyDescent="0.35">
      <c r="A24" s="6" t="s">
        <v>65</v>
      </c>
      <c r="B24" s="7" t="s">
        <v>48</v>
      </c>
      <c r="C24" s="5">
        <f>SUMIF(sales_data!A24:A223,A24,sales_data!E24:E223)</f>
        <v>6481.43</v>
      </c>
    </row>
    <row r="25" spans="1:3" x14ac:dyDescent="0.35">
      <c r="A25" s="4" t="s">
        <v>67</v>
      </c>
      <c r="B25" s="5" t="s">
        <v>38</v>
      </c>
      <c r="C25" s="7">
        <f>SUMIF(sales_data!A25:A224,A25,sales_data!E25:E224)</f>
        <v>8490.18</v>
      </c>
    </row>
    <row r="26" spans="1:3" x14ac:dyDescent="0.35">
      <c r="A26" s="6" t="s">
        <v>68</v>
      </c>
      <c r="B26" s="7" t="s">
        <v>55</v>
      </c>
      <c r="C26" s="5">
        <f>SUMIF(sales_data!A26:A225,A26,sales_data!E26:E225)</f>
        <v>4413.71</v>
      </c>
    </row>
    <row r="27" spans="1:3" x14ac:dyDescent="0.35">
      <c r="A27" s="4" t="s">
        <v>70</v>
      </c>
      <c r="B27" s="5" t="s">
        <v>55</v>
      </c>
      <c r="C27" s="7">
        <f>SUMIF(sales_data!A27:A226,A27,sales_data!E27:E226)</f>
        <v>7583.1299999999992</v>
      </c>
    </row>
    <row r="28" spans="1:3" x14ac:dyDescent="0.35">
      <c r="A28" s="6" t="s">
        <v>72</v>
      </c>
      <c r="B28" s="7" t="s">
        <v>45</v>
      </c>
      <c r="C28" s="5">
        <f>SUMIF(sales_data!A28:A227,A28,sales_data!E28:E227)</f>
        <v>7813.59</v>
      </c>
    </row>
    <row r="29" spans="1:3" x14ac:dyDescent="0.35">
      <c r="A29" s="6" t="s">
        <v>73</v>
      </c>
      <c r="B29" s="7" t="s">
        <v>14</v>
      </c>
      <c r="C29" s="7">
        <f>SUMIF(sales_data!A29:A228,A29,sales_data!E29:E228)</f>
        <v>4162.4400000000005</v>
      </c>
    </row>
    <row r="30" spans="1:3" x14ac:dyDescent="0.35">
      <c r="A30" s="4" t="s">
        <v>74</v>
      </c>
      <c r="B30" s="5" t="s">
        <v>38</v>
      </c>
      <c r="C30" s="5">
        <f>SUMIF(sales_data!A30:A229,A30,sales_data!E30:E229)</f>
        <v>3906.04</v>
      </c>
    </row>
    <row r="31" spans="1:3" x14ac:dyDescent="0.35">
      <c r="A31" s="4" t="s">
        <v>75</v>
      </c>
      <c r="B31" s="5" t="s">
        <v>47</v>
      </c>
      <c r="C31" s="7">
        <f>SUMIF(sales_data!A31:A230,A31,sales_data!E31:E230)</f>
        <v>4951.8899999999994</v>
      </c>
    </row>
  </sheetData>
  <conditionalFormatting sqref="C1:C31">
    <cfRule type="top10" dxfId="3"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EA77-634B-4E2A-A708-3F7B2BB2C989}">
  <dimension ref="A1:B6"/>
  <sheetViews>
    <sheetView zoomScale="82" workbookViewId="0">
      <selection activeCell="P10" sqref="P10"/>
    </sheetView>
  </sheetViews>
  <sheetFormatPr defaultRowHeight="14.5" x14ac:dyDescent="0.35"/>
  <cols>
    <col min="2" max="2" width="16.453125" customWidth="1"/>
  </cols>
  <sheetData>
    <row r="1" spans="1:2" x14ac:dyDescent="0.35">
      <c r="A1" s="3" t="s">
        <v>78</v>
      </c>
      <c r="B1" s="3" t="s">
        <v>77</v>
      </c>
    </row>
    <row r="2" spans="1:2" x14ac:dyDescent="0.35">
      <c r="A2" s="9">
        <v>0</v>
      </c>
      <c r="B2" s="11" cm="1">
        <f t="array" ref="B2">SUM(sales_data!I2:I201)+SUMPRODUCT(sales_data!E2:E201,sales_data!G2:G201-A2)</f>
        <v>87559.767500000016</v>
      </c>
    </row>
    <row r="3" spans="1:2" x14ac:dyDescent="0.35">
      <c r="A3" s="10">
        <v>0.05</v>
      </c>
      <c r="B3" s="11" cm="1">
        <f t="array" ref="B3">SUM(sales_data!I3:I202)+SUMPRODUCT(sales_data!E3:E202,sales_data!G3:G202-A3)</f>
        <v>77311.916000000012</v>
      </c>
    </row>
    <row r="4" spans="1:2" x14ac:dyDescent="0.35">
      <c r="A4" s="9">
        <v>0.1</v>
      </c>
      <c r="B4" s="11" cm="1">
        <f t="array" ref="B4">SUM(sales_data!I4:I203)+SUMPRODUCT(sales_data!E4:E203,sales_data!G4:G203-A4)</f>
        <v>67052.194500000027</v>
      </c>
    </row>
    <row r="5" spans="1:2" x14ac:dyDescent="0.35">
      <c r="A5" s="10">
        <v>0.15</v>
      </c>
      <c r="B5" s="11" cm="1">
        <f t="array" ref="B5">SUM(sales_data!I5:I204)+SUMPRODUCT(sales_data!E5:E204,sales_data!G5:G204-A5)</f>
        <v>57219.836000000032</v>
      </c>
    </row>
    <row r="6" spans="1:2" x14ac:dyDescent="0.35">
      <c r="A6" s="9">
        <v>0.2</v>
      </c>
      <c r="B6" s="11" cm="1">
        <f t="array" ref="B6">SUM(sales_data!I6:I205)+SUMPRODUCT(sales_data!E6:E205,sales_data!G6:G205-A6)</f>
        <v>47477.830000000031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8403-1677-4D33-990B-4F319129FA47}">
  <dimension ref="A1:I18"/>
  <sheetViews>
    <sheetView workbookViewId="0">
      <selection activeCell="G9" sqref="G9"/>
    </sheetView>
  </sheetViews>
  <sheetFormatPr defaultRowHeight="14.5" x14ac:dyDescent="0.35"/>
  <cols>
    <col min="1" max="1" width="17.26953125" bestFit="1" customWidth="1"/>
    <col min="2" max="2" width="11.81640625" bestFit="1" customWidth="1"/>
    <col min="3" max="3" width="13.54296875" bestFit="1" customWidth="1"/>
    <col min="4" max="4" width="12.45312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1" spans="1:9" x14ac:dyDescent="0.35">
      <c r="A1" t="s">
        <v>79</v>
      </c>
    </row>
    <row r="2" spans="1:9" ht="15" thickBot="1" x14ac:dyDescent="0.4"/>
    <row r="3" spans="1:9" x14ac:dyDescent="0.35">
      <c r="A3" s="14" t="s">
        <v>80</v>
      </c>
      <c r="B3" s="14"/>
    </row>
    <row r="4" spans="1:9" x14ac:dyDescent="0.35">
      <c r="A4" t="s">
        <v>81</v>
      </c>
      <c r="B4">
        <v>0.77340306414342619</v>
      </c>
    </row>
    <row r="5" spans="1:9" x14ac:dyDescent="0.35">
      <c r="A5" t="s">
        <v>82</v>
      </c>
      <c r="B5">
        <v>0.59815229962644056</v>
      </c>
    </row>
    <row r="6" spans="1:9" x14ac:dyDescent="0.35">
      <c r="A6" t="s">
        <v>83</v>
      </c>
      <c r="B6">
        <v>0.59612276578617007</v>
      </c>
    </row>
    <row r="7" spans="1:9" x14ac:dyDescent="0.35">
      <c r="A7" t="s">
        <v>84</v>
      </c>
      <c r="B7">
        <v>86.281230529665166</v>
      </c>
    </row>
    <row r="8" spans="1:9" ht="15" thickBot="1" x14ac:dyDescent="0.4">
      <c r="A8" s="12" t="s">
        <v>85</v>
      </c>
      <c r="B8" s="12">
        <v>200</v>
      </c>
    </row>
    <row r="10" spans="1:9" ht="15" thickBot="1" x14ac:dyDescent="0.4">
      <c r="A10" t="s">
        <v>86</v>
      </c>
    </row>
    <row r="11" spans="1:9" x14ac:dyDescent="0.35">
      <c r="A11" s="13"/>
      <c r="B11" s="13" t="s">
        <v>91</v>
      </c>
      <c r="C11" s="13" t="s">
        <v>92</v>
      </c>
      <c r="D11" s="13" t="s">
        <v>93</v>
      </c>
      <c r="E11" s="13" t="s">
        <v>94</v>
      </c>
      <c r="F11" s="13" t="s">
        <v>95</v>
      </c>
    </row>
    <row r="12" spans="1:9" x14ac:dyDescent="0.35">
      <c r="A12" t="s">
        <v>87</v>
      </c>
      <c r="B12">
        <v>1</v>
      </c>
      <c r="C12">
        <v>2194058.1833402822</v>
      </c>
      <c r="D12">
        <v>2194058.1833402822</v>
      </c>
      <c r="E12">
        <v>294.72398427548114</v>
      </c>
      <c r="F12">
        <v>4.6269367558910499E-41</v>
      </c>
    </row>
    <row r="13" spans="1:9" x14ac:dyDescent="0.35">
      <c r="A13" t="s">
        <v>88</v>
      </c>
      <c r="B13">
        <v>198</v>
      </c>
      <c r="C13">
        <v>1474001.2468592182</v>
      </c>
      <c r="D13">
        <v>7444.4507417132236</v>
      </c>
    </row>
    <row r="14" spans="1:9" ht="15" thickBot="1" x14ac:dyDescent="0.4">
      <c r="A14" s="12" t="s">
        <v>89</v>
      </c>
      <c r="B14" s="12">
        <v>199</v>
      </c>
      <c r="C14" s="12">
        <v>3668059.4301995002</v>
      </c>
      <c r="D14" s="12"/>
      <c r="E14" s="12"/>
      <c r="F14" s="12"/>
    </row>
    <row r="15" spans="1:9" ht="15" thickBot="1" x14ac:dyDescent="0.4"/>
    <row r="16" spans="1:9" x14ac:dyDescent="0.35">
      <c r="A16" s="13"/>
      <c r="B16" s="13" t="s">
        <v>96</v>
      </c>
      <c r="C16" s="13" t="s">
        <v>84</v>
      </c>
      <c r="D16" s="13" t="s">
        <v>97</v>
      </c>
      <c r="E16" s="13" t="s">
        <v>98</v>
      </c>
      <c r="F16" s="13" t="s">
        <v>99</v>
      </c>
      <c r="G16" s="13" t="s">
        <v>100</v>
      </c>
      <c r="H16" s="13" t="s">
        <v>101</v>
      </c>
      <c r="I16" s="13" t="s">
        <v>102</v>
      </c>
    </row>
    <row r="17" spans="1:9" x14ac:dyDescent="0.35">
      <c r="A17" t="s">
        <v>90</v>
      </c>
      <c r="B17">
        <v>-1.0315504901911368</v>
      </c>
      <c r="C17">
        <v>20.860617005445505</v>
      </c>
      <c r="D17">
        <v>-4.9449663445805959E-2</v>
      </c>
      <c r="E17">
        <v>0.96061079696907459</v>
      </c>
      <c r="F17">
        <v>-42.169051823378965</v>
      </c>
      <c r="G17">
        <v>40.105950842996691</v>
      </c>
      <c r="H17">
        <v>-42.169051823378965</v>
      </c>
      <c r="I17">
        <v>40.105950842996691</v>
      </c>
    </row>
    <row r="18" spans="1:9" ht="15" thickBot="1" x14ac:dyDescent="0.4">
      <c r="A18" s="12" t="s">
        <v>4</v>
      </c>
      <c r="B18" s="12">
        <v>0.35085598819512254</v>
      </c>
      <c r="C18" s="12">
        <v>2.0437188630135626E-2</v>
      </c>
      <c r="D18" s="12">
        <v>17.167527028535048</v>
      </c>
      <c r="E18" s="12">
        <v>4.6269367558907868E-41</v>
      </c>
      <c r="F18" s="12">
        <v>0.31055349501865764</v>
      </c>
      <c r="G18" s="12">
        <v>0.39115848137158743</v>
      </c>
      <c r="H18" s="12">
        <v>0.31055349501865764</v>
      </c>
      <c r="I18" s="12">
        <v>0.39115848137158743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55D0-FBD3-4BB0-882C-EBDD3B97208A}">
  <dimension ref="A1:G16"/>
  <sheetViews>
    <sheetView topLeftCell="K1" zoomScale="85" zoomScaleNormal="85" workbookViewId="0">
      <selection activeCell="B17" sqref="B17"/>
    </sheetView>
  </sheetViews>
  <sheetFormatPr defaultRowHeight="14.5" x14ac:dyDescent="0.35"/>
  <cols>
    <col min="1" max="1" width="16.81640625" bestFit="1" customWidth="1"/>
    <col min="2" max="2" width="12.453125" bestFit="1" customWidth="1"/>
    <col min="6" max="6" width="16.81640625" bestFit="1" customWidth="1"/>
  </cols>
  <sheetData>
    <row r="1" spans="1:7" x14ac:dyDescent="0.35">
      <c r="A1" s="14" t="s">
        <v>4</v>
      </c>
      <c r="B1" s="14"/>
      <c r="F1" s="14" t="s">
        <v>8</v>
      </c>
      <c r="G1" s="14"/>
    </row>
    <row r="3" spans="1:7" x14ac:dyDescent="0.35">
      <c r="A3" t="s">
        <v>103</v>
      </c>
      <c r="B3">
        <v>976.08879999999965</v>
      </c>
      <c r="F3" t="s">
        <v>103</v>
      </c>
      <c r="G3">
        <v>341.43505000000005</v>
      </c>
    </row>
    <row r="4" spans="1:7" x14ac:dyDescent="0.35">
      <c r="A4" t="s">
        <v>84</v>
      </c>
      <c r="B4">
        <v>21.161850448978406</v>
      </c>
      <c r="F4" t="s">
        <v>84</v>
      </c>
      <c r="G4">
        <v>9.6001196472332531</v>
      </c>
    </row>
    <row r="5" spans="1:7" x14ac:dyDescent="0.35">
      <c r="A5" t="s">
        <v>104</v>
      </c>
      <c r="B5">
        <v>976.72</v>
      </c>
      <c r="F5" t="s">
        <v>104</v>
      </c>
      <c r="G5">
        <v>332.255</v>
      </c>
    </row>
    <row r="6" spans="1:7" x14ac:dyDescent="0.35">
      <c r="A6" t="s">
        <v>105</v>
      </c>
      <c r="B6" t="e">
        <v>#N/A</v>
      </c>
      <c r="F6" t="s">
        <v>105</v>
      </c>
      <c r="G6" t="e">
        <v>#N/A</v>
      </c>
    </row>
    <row r="7" spans="1:7" x14ac:dyDescent="0.35">
      <c r="A7" t="s">
        <v>106</v>
      </c>
      <c r="B7">
        <v>299.27375909856431</v>
      </c>
      <c r="F7" t="s">
        <v>106</v>
      </c>
      <c r="G7">
        <v>135.7661940552168</v>
      </c>
    </row>
    <row r="8" spans="1:7" x14ac:dyDescent="0.35">
      <c r="A8" t="s">
        <v>107</v>
      </c>
      <c r="B8">
        <v>89564.782884985514</v>
      </c>
      <c r="F8" t="s">
        <v>107</v>
      </c>
      <c r="G8">
        <v>18432.459448238787</v>
      </c>
    </row>
    <row r="9" spans="1:7" x14ac:dyDescent="0.35">
      <c r="A9" t="s">
        <v>108</v>
      </c>
      <c r="B9">
        <v>-8.8595231919740502E-2</v>
      </c>
      <c r="F9" t="s">
        <v>108</v>
      </c>
      <c r="G9">
        <v>0.26450643813582442</v>
      </c>
    </row>
    <row r="10" spans="1:7" x14ac:dyDescent="0.35">
      <c r="A10" t="s">
        <v>109</v>
      </c>
      <c r="B10">
        <v>0.14685796564193557</v>
      </c>
      <c r="F10" t="s">
        <v>109</v>
      </c>
      <c r="G10">
        <v>0.57339636063424715</v>
      </c>
    </row>
    <row r="11" spans="1:7" x14ac:dyDescent="0.35">
      <c r="A11" t="s">
        <v>110</v>
      </c>
      <c r="B11">
        <v>1665.15</v>
      </c>
      <c r="F11" t="s">
        <v>110</v>
      </c>
      <c r="G11">
        <v>704.83</v>
      </c>
    </row>
    <row r="12" spans="1:7" x14ac:dyDescent="0.35">
      <c r="A12" t="s">
        <v>111</v>
      </c>
      <c r="B12">
        <v>258.51</v>
      </c>
      <c r="F12" t="s">
        <v>111</v>
      </c>
      <c r="G12">
        <v>64.63</v>
      </c>
    </row>
    <row r="13" spans="1:7" x14ac:dyDescent="0.35">
      <c r="A13" t="s">
        <v>112</v>
      </c>
      <c r="B13">
        <v>1923.66</v>
      </c>
      <c r="F13" t="s">
        <v>112</v>
      </c>
      <c r="G13">
        <v>769.46</v>
      </c>
    </row>
    <row r="14" spans="1:7" x14ac:dyDescent="0.35">
      <c r="A14" t="s">
        <v>113</v>
      </c>
      <c r="B14">
        <v>195217.75999999992</v>
      </c>
      <c r="F14" t="s">
        <v>113</v>
      </c>
      <c r="G14">
        <v>68287.010000000009</v>
      </c>
    </row>
    <row r="15" spans="1:7" ht="15" thickBot="1" x14ac:dyDescent="0.4">
      <c r="A15" s="12" t="s">
        <v>114</v>
      </c>
      <c r="B15" s="12">
        <v>200</v>
      </c>
      <c r="F15" s="12" t="s">
        <v>114</v>
      </c>
      <c r="G15" s="12">
        <v>200</v>
      </c>
    </row>
    <row r="16" spans="1:7" x14ac:dyDescent="0.35">
      <c r="B1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EC85-5776-4CC1-8567-7B296BDC9CCF}">
  <dimension ref="A1:E16"/>
  <sheetViews>
    <sheetView workbookViewId="0">
      <selection activeCell="H16" sqref="H16"/>
    </sheetView>
  </sheetViews>
  <sheetFormatPr defaultRowHeight="14.5" x14ac:dyDescent="0.35"/>
  <cols>
    <col min="1" max="1" width="11.36328125" style="16" bestFit="1" customWidth="1"/>
    <col min="2" max="2" width="8.90625" bestFit="1" customWidth="1"/>
    <col min="3" max="3" width="19.08984375" bestFit="1" customWidth="1"/>
    <col min="4" max="4" width="12.453125" bestFit="1" customWidth="1"/>
    <col min="5" max="5" width="8.7265625" customWidth="1"/>
  </cols>
  <sheetData>
    <row r="1" spans="1:5" x14ac:dyDescent="0.35">
      <c r="A1" s="15" t="s">
        <v>115</v>
      </c>
      <c r="B1" s="2" t="s">
        <v>116</v>
      </c>
      <c r="C1" s="2" t="s">
        <v>117</v>
      </c>
      <c r="D1" s="2" t="s">
        <v>118</v>
      </c>
      <c r="E1" s="2" t="s">
        <v>119</v>
      </c>
    </row>
    <row r="2" spans="1:5" x14ac:dyDescent="0.35">
      <c r="A2" s="16">
        <f>DATE(2024,4,1)</f>
        <v>45383</v>
      </c>
      <c r="B2">
        <f>SUMIFS(sales_data!E2:E201,sales_data!H2:H201,"&gt;="&amp;A2,sales_data!H2:H201,"&lt;"&amp;EDATE(A2,1))</f>
        <v>19029.96</v>
      </c>
    </row>
    <row r="3" spans="1:5" x14ac:dyDescent="0.35">
      <c r="A3" s="16">
        <f>EDATE(A2,1)</f>
        <v>45413</v>
      </c>
      <c r="B3">
        <f>SUMIFS(sales_data!E3:E202,sales_data!H3:H202,"&gt;="&amp;A3,sales_data!H3:H202,"&lt;"&amp;EDATE(A3,1))</f>
        <v>18507.339999999997</v>
      </c>
      <c r="C3">
        <f>B2</f>
        <v>19029.96</v>
      </c>
      <c r="D3" s="8">
        <f>IFERROR((B3-C3)/C3,0)</f>
        <v>-2.7463010957458799E-2</v>
      </c>
      <c r="E3" s="17" t="str">
        <f>IF(B3&gt;C3,"↑",IF(B3&lt;C3,"↓","→"))</f>
        <v>↓</v>
      </c>
    </row>
    <row r="4" spans="1:5" x14ac:dyDescent="0.35">
      <c r="A4" s="16">
        <f t="shared" ref="A4:A14" si="0">EDATE(A3,1)</f>
        <v>45444</v>
      </c>
      <c r="B4">
        <f>SUMIFS(sales_data!E4:E203,sales_data!H4:H203,"&gt;="&amp;A4,sales_data!H4:H203,"&lt;"&amp;EDATE(A4,1))</f>
        <v>20187.509999999998</v>
      </c>
      <c r="C4">
        <f t="shared" ref="C4:C14" si="1">B3</f>
        <v>18507.339999999997</v>
      </c>
      <c r="D4" s="8">
        <f t="shared" ref="D4:D14" si="2">IFERROR((B4-C4)/C4,0)</f>
        <v>9.0783980842195702E-2</v>
      </c>
      <c r="E4" s="17" t="str">
        <f t="shared" ref="E4:E14" si="3">IF(B4&gt;C4,"↑",IF(B4&lt;C4,"↓","→"))</f>
        <v>↑</v>
      </c>
    </row>
    <row r="5" spans="1:5" x14ac:dyDescent="0.35">
      <c r="A5" s="16">
        <f t="shared" si="0"/>
        <v>45474</v>
      </c>
      <c r="B5">
        <f>SUMIFS(sales_data!E5:E204,sales_data!H5:H204,"&gt;="&amp;A5,sales_data!H5:H204,"&lt;"&amp;EDATE(A5,1))</f>
        <v>11609.039999999999</v>
      </c>
      <c r="C5">
        <f t="shared" si="1"/>
        <v>20187.509999999998</v>
      </c>
      <c r="D5" s="8">
        <f t="shared" si="2"/>
        <v>-0.42493947990614001</v>
      </c>
      <c r="E5" s="17" t="str">
        <f t="shared" si="3"/>
        <v>↓</v>
      </c>
    </row>
    <row r="6" spans="1:5" x14ac:dyDescent="0.35">
      <c r="A6" s="16">
        <f t="shared" si="0"/>
        <v>45505</v>
      </c>
      <c r="B6">
        <f>SUMIFS(sales_data!E6:E205,sales_data!H6:H205,"&gt;="&amp;A6,sales_data!H6:H205,"&lt;"&amp;EDATE(A6,1))</f>
        <v>10091.699999999999</v>
      </c>
      <c r="C6">
        <f t="shared" si="1"/>
        <v>11609.039999999999</v>
      </c>
      <c r="D6" s="8">
        <f t="shared" si="2"/>
        <v>-0.13070331396911375</v>
      </c>
      <c r="E6" s="17" t="str">
        <f t="shared" si="3"/>
        <v>↓</v>
      </c>
    </row>
    <row r="7" spans="1:5" x14ac:dyDescent="0.35">
      <c r="A7" s="16">
        <f t="shared" si="0"/>
        <v>45536</v>
      </c>
      <c r="B7">
        <f>SUMIFS(sales_data!E7:E206,sales_data!H7:H206,"&gt;="&amp;A7,sales_data!H7:H206,"&lt;"&amp;EDATE(A7,1))</f>
        <v>20533.499999999996</v>
      </c>
      <c r="C7">
        <f t="shared" si="1"/>
        <v>10091.699999999999</v>
      </c>
      <c r="D7" s="8">
        <f t="shared" si="2"/>
        <v>1.0346918755016496</v>
      </c>
      <c r="E7" s="17" t="str">
        <f t="shared" si="3"/>
        <v>↑</v>
      </c>
    </row>
    <row r="8" spans="1:5" x14ac:dyDescent="0.35">
      <c r="A8" s="16">
        <f t="shared" si="0"/>
        <v>45566</v>
      </c>
      <c r="B8">
        <f>SUMIFS(sales_data!E8:E207,sales_data!H8:H207,"&gt;="&amp;A8,sales_data!H8:H207,"&lt;"&amp;EDATE(A8,1))</f>
        <v>14215.240000000002</v>
      </c>
      <c r="C8">
        <f t="shared" si="1"/>
        <v>20533.499999999996</v>
      </c>
      <c r="D8" s="8">
        <f t="shared" si="2"/>
        <v>-0.30770496992719193</v>
      </c>
      <c r="E8" s="17" t="str">
        <f t="shared" si="3"/>
        <v>↓</v>
      </c>
    </row>
    <row r="9" spans="1:5" x14ac:dyDescent="0.35">
      <c r="A9" s="16">
        <f t="shared" si="0"/>
        <v>45597</v>
      </c>
      <c r="B9">
        <f>SUMIFS(sales_data!E9:E208,sales_data!H9:H208,"&gt;="&amp;A9,sales_data!H9:H208,"&lt;"&amp;EDATE(A9,1))</f>
        <v>20135.030000000002</v>
      </c>
      <c r="C9">
        <f t="shared" si="1"/>
        <v>14215.240000000002</v>
      </c>
      <c r="D9" s="8">
        <f t="shared" si="2"/>
        <v>0.4164396802305132</v>
      </c>
      <c r="E9" s="17" t="str">
        <f t="shared" si="3"/>
        <v>↑</v>
      </c>
    </row>
    <row r="10" spans="1:5" x14ac:dyDescent="0.35">
      <c r="A10" s="16">
        <f t="shared" si="0"/>
        <v>45627</v>
      </c>
      <c r="B10">
        <f>SUMIFS(sales_data!E10:E209,sales_data!H10:H209,"&gt;="&amp;A10,sales_data!H10:H209,"&lt;"&amp;EDATE(A10,1))</f>
        <v>11120.04</v>
      </c>
      <c r="C10">
        <f t="shared" si="1"/>
        <v>20135.030000000002</v>
      </c>
      <c r="D10" s="8">
        <f t="shared" si="2"/>
        <v>-0.44772667336477773</v>
      </c>
      <c r="E10" s="17" t="str">
        <f t="shared" si="3"/>
        <v>↓</v>
      </c>
    </row>
    <row r="11" spans="1:5" x14ac:dyDescent="0.35">
      <c r="A11" s="16">
        <f t="shared" si="0"/>
        <v>45658</v>
      </c>
      <c r="B11">
        <f>SUMIFS(sales_data!E11:E210,sales_data!H11:H210,"&gt;="&amp;A11,sales_data!H11:H210,"&lt;"&amp;EDATE(A11,1))</f>
        <v>14914.650000000001</v>
      </c>
      <c r="C11">
        <f t="shared" si="1"/>
        <v>11120.04</v>
      </c>
      <c r="D11" s="8">
        <f t="shared" si="2"/>
        <v>0.34124067899036337</v>
      </c>
      <c r="E11" s="17" t="str">
        <f t="shared" si="3"/>
        <v>↑</v>
      </c>
    </row>
    <row r="12" spans="1:5" x14ac:dyDescent="0.35">
      <c r="A12" s="16">
        <f t="shared" si="0"/>
        <v>45689</v>
      </c>
      <c r="B12">
        <f>SUMIFS(sales_data!E12:E211,sales_data!H12:H211,"&gt;="&amp;A12,sales_data!H12:H211,"&lt;"&amp;EDATE(A12,1))</f>
        <v>14006.359999999999</v>
      </c>
      <c r="C12">
        <f t="shared" si="1"/>
        <v>14914.650000000001</v>
      </c>
      <c r="D12" s="8">
        <f t="shared" si="2"/>
        <v>-6.0899183018039482E-2</v>
      </c>
      <c r="E12" s="17" t="str">
        <f t="shared" si="3"/>
        <v>↓</v>
      </c>
    </row>
    <row r="13" spans="1:5" x14ac:dyDescent="0.35">
      <c r="A13" s="16">
        <f t="shared" si="0"/>
        <v>45717</v>
      </c>
      <c r="B13">
        <f>SUMIFS(sales_data!E13:E212,sales_data!H13:H212,"&gt;="&amp;A13,sales_data!H13:H212,"&lt;"&amp;EDATE(A13,1))</f>
        <v>17655.219999999998</v>
      </c>
      <c r="C13">
        <f t="shared" si="1"/>
        <v>14006.359999999999</v>
      </c>
      <c r="D13" s="8">
        <f t="shared" si="2"/>
        <v>0.26051450912299834</v>
      </c>
      <c r="E13" s="17" t="str">
        <f t="shared" si="3"/>
        <v>↑</v>
      </c>
    </row>
    <row r="14" spans="1:5" x14ac:dyDescent="0.35">
      <c r="A14" s="16">
        <f t="shared" si="0"/>
        <v>45748</v>
      </c>
      <c r="B14">
        <f>SUMIFS(sales_data!E14:E213,sales_data!H14:H213,"&gt;="&amp;A14,sales_data!H14:H213,"&lt;"&amp;EDATE(A14,1))</f>
        <v>3212.17</v>
      </c>
      <c r="C14">
        <f t="shared" si="1"/>
        <v>17655.219999999998</v>
      </c>
      <c r="D14" s="8">
        <f t="shared" si="2"/>
        <v>-0.81806117397574196</v>
      </c>
      <c r="E14" s="17" t="str">
        <f t="shared" si="3"/>
        <v>↓</v>
      </c>
    </row>
    <row r="15" spans="1:5" x14ac:dyDescent="0.35">
      <c r="E15" s="17"/>
    </row>
    <row r="16" spans="1:5" x14ac:dyDescent="0.35">
      <c r="E16" s="17"/>
    </row>
  </sheetData>
  <conditionalFormatting sqref="E3:E14">
    <cfRule type="expression" dxfId="2" priority="1">
      <formula>$E$3="↑"</formula>
    </cfRule>
    <cfRule type="expression" dxfId="1" priority="2">
      <formula>$E$3="↑"</formula>
    </cfRule>
    <cfRule type="expression" dxfId="0" priority="3">
      <formula>$E$3="↑"</formula>
    </cfRule>
    <cfRule type="colorScale" priority="5">
      <colorScale>
        <cfvo type="min"/>
        <cfvo type="percentile" val="50"/>
        <cfvo type="max"/>
        <color rgb="FF63BE7B"/>
        <color rgb="FFFFEB84"/>
        <color rgb="FFF8696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F262-8645-4C13-8E42-2E95307C4A6C}">
  <sheetPr filterMode="1"/>
  <dimension ref="A1:E31"/>
  <sheetViews>
    <sheetView workbookViewId="0">
      <selection activeCell="E2" sqref="E2"/>
    </sheetView>
  </sheetViews>
  <sheetFormatPr defaultRowHeight="14.5" x14ac:dyDescent="0.35"/>
  <cols>
    <col min="1" max="1" width="10.08984375" bestFit="1" customWidth="1"/>
    <col min="2" max="2" width="16" bestFit="1" customWidth="1"/>
    <col min="3" max="3" width="13.36328125" bestFit="1" customWidth="1"/>
    <col min="4" max="4" width="15.7265625" bestFit="1" customWidth="1"/>
    <col min="5" max="5" width="19.08984375" bestFit="1" customWidth="1"/>
  </cols>
  <sheetData>
    <row r="1" spans="1:5" x14ac:dyDescent="0.35">
      <c r="A1" t="s">
        <v>121</v>
      </c>
      <c r="B1" t="s">
        <v>122</v>
      </c>
      <c r="C1" t="s">
        <v>76</v>
      </c>
      <c r="D1" t="s">
        <v>123</v>
      </c>
      <c r="E1" t="s">
        <v>124</v>
      </c>
    </row>
    <row r="2" spans="1:5" hidden="1" x14ac:dyDescent="0.35">
      <c r="A2" s="4" t="s">
        <v>9</v>
      </c>
      <c r="B2" t="str">
        <f>INDEX(sales_data!B2:B201,MATCH(A2,sales_data!A2:A201,0))</f>
        <v>James Davis</v>
      </c>
      <c r="C2">
        <f>SUMIF(sales_data!A2:A201,A2,sales_data!E2:E201)</f>
        <v>4640.1099999999997</v>
      </c>
      <c r="D2">
        <f>_xlfn.RANK.EQ(C2,C2:C31,0)</f>
        <v>21</v>
      </c>
      <c r="E2" t="str">
        <f>IF(D2&lt;=10,"high value","regular")</f>
        <v>regular</v>
      </c>
    </row>
    <row r="3" spans="1:5" x14ac:dyDescent="0.35">
      <c r="A3" s="6" t="s">
        <v>13</v>
      </c>
      <c r="B3" t="str">
        <f>INDEX(sales_data!B3:B202,MATCH(A3,sales_data!A3:A202,0))</f>
        <v>Robert Anderson</v>
      </c>
      <c r="C3">
        <f>SUMIF(sales_data!A3:A202,A3,sales_data!E3:E202)</f>
        <v>8339</v>
      </c>
      <c r="D3">
        <f t="shared" ref="D3:D31" si="0">_xlfn.RANK.EQ(C3,C3:C32,0)</f>
        <v>8</v>
      </c>
      <c r="E3" t="str">
        <f t="shared" ref="E3:E31" si="1">IF(D3&lt;=10,"high value","regular")</f>
        <v>high value</v>
      </c>
    </row>
    <row r="4" spans="1:5" hidden="1" x14ac:dyDescent="0.35">
      <c r="A4" s="4" t="s">
        <v>16</v>
      </c>
      <c r="B4" t="str">
        <f>INDEX(sales_data!B4:B203,MATCH(A4,sales_data!A4:A203,0))</f>
        <v>James Taylor</v>
      </c>
      <c r="C4">
        <f>SUMIF(sales_data!A4:A203,A4,sales_data!E4:E203)</f>
        <v>3419.2</v>
      </c>
      <c r="D4">
        <f t="shared" si="0"/>
        <v>26</v>
      </c>
      <c r="E4" t="str">
        <f t="shared" si="1"/>
        <v>regular</v>
      </c>
    </row>
    <row r="5" spans="1:5" hidden="1" x14ac:dyDescent="0.35">
      <c r="A5" s="6" t="s">
        <v>19</v>
      </c>
      <c r="B5" t="str">
        <f>INDEX(sales_data!B5:B204,MATCH(A5,sales_data!A5:A204,0))</f>
        <v>Robert Anderson</v>
      </c>
      <c r="C5">
        <f>SUMIF(sales_data!A5:A204,A5,sales_data!E5:E204)</f>
        <v>6666.130000000001</v>
      </c>
      <c r="D5">
        <f t="shared" si="0"/>
        <v>13</v>
      </c>
      <c r="E5" t="str">
        <f t="shared" si="1"/>
        <v>regular</v>
      </c>
    </row>
    <row r="6" spans="1:5" x14ac:dyDescent="0.35">
      <c r="A6" s="4" t="s">
        <v>22</v>
      </c>
      <c r="B6" t="str">
        <f>INDEX(sales_data!B6:B205,MATCH(A6,sales_data!A6:A205,0))</f>
        <v>James Wilson</v>
      </c>
      <c r="C6">
        <f>SUMIF(sales_data!A6:A205,A6,sales_data!E6:E205)</f>
        <v>7928.71</v>
      </c>
      <c r="D6">
        <f t="shared" si="0"/>
        <v>8</v>
      </c>
      <c r="E6" t="str">
        <f t="shared" si="1"/>
        <v>high value</v>
      </c>
    </row>
    <row r="7" spans="1:5" x14ac:dyDescent="0.35">
      <c r="A7" s="6" t="s">
        <v>25</v>
      </c>
      <c r="B7" t="str">
        <f>INDEX(sales_data!B7:B206,MATCH(A7,sales_data!A7:A206,0))</f>
        <v>Michael Anderson</v>
      </c>
      <c r="C7">
        <f>SUMIF(sales_data!A7:A206,A7,sales_data!E7:E206)</f>
        <v>9941.8799999999992</v>
      </c>
      <c r="D7">
        <f t="shared" si="0"/>
        <v>3</v>
      </c>
      <c r="E7" t="str">
        <f t="shared" si="1"/>
        <v>high value</v>
      </c>
    </row>
    <row r="8" spans="1:5" hidden="1" x14ac:dyDescent="0.35">
      <c r="A8" s="4" t="s">
        <v>28</v>
      </c>
      <c r="B8" t="str">
        <f>INDEX(sales_data!B8:B207,MATCH(A8,sales_data!A8:A207,0))</f>
        <v>Linda Wilson</v>
      </c>
      <c r="C8">
        <f>SUMIF(sales_data!A8:A207,A8,sales_data!E8:E207)</f>
        <v>6549.55</v>
      </c>
      <c r="D8">
        <f t="shared" si="0"/>
        <v>11</v>
      </c>
      <c r="E8" t="str">
        <f t="shared" si="1"/>
        <v>regular</v>
      </c>
    </row>
    <row r="9" spans="1:5" x14ac:dyDescent="0.35">
      <c r="A9" s="6" t="s">
        <v>30</v>
      </c>
      <c r="B9" t="str">
        <f>INDEX(sales_data!B9:B208,MATCH(A9,sales_data!A9:A208,0))</f>
        <v>Mary Davis</v>
      </c>
      <c r="C9">
        <f>SUMIF(sales_data!A9:A208,A9,sales_data!E9:E208)</f>
        <v>9371.81</v>
      </c>
      <c r="D9">
        <f t="shared" si="0"/>
        <v>4</v>
      </c>
      <c r="E9" t="str">
        <f t="shared" si="1"/>
        <v>high value</v>
      </c>
    </row>
    <row r="10" spans="1:5" x14ac:dyDescent="0.35">
      <c r="A10" s="4" t="s">
        <v>32</v>
      </c>
      <c r="B10" t="str">
        <f>INDEX(sales_data!B10:B209,MATCH(A10,sales_data!A10:A209,0))</f>
        <v>Linda Jackson</v>
      </c>
      <c r="C10">
        <f>SUMIF(sales_data!A10:A209,A10,sales_data!E10:E209)</f>
        <v>6505.2</v>
      </c>
      <c r="D10">
        <f t="shared" si="0"/>
        <v>10</v>
      </c>
      <c r="E10" t="str">
        <f t="shared" si="1"/>
        <v>high value</v>
      </c>
    </row>
    <row r="11" spans="1:5" hidden="1" x14ac:dyDescent="0.35">
      <c r="A11" s="6" t="s">
        <v>35</v>
      </c>
      <c r="B11" t="str">
        <f>INDEX(sales_data!B11:B210,MATCH(A11,sales_data!A11:A210,0))</f>
        <v>David Thomas</v>
      </c>
      <c r="C11">
        <f>SUMIF(sales_data!A11:A210,A11,sales_data!E11:E210)</f>
        <v>4259.22</v>
      </c>
      <c r="D11">
        <f t="shared" si="0"/>
        <v>16</v>
      </c>
      <c r="E11" t="str">
        <f t="shared" si="1"/>
        <v>regular</v>
      </c>
    </row>
    <row r="12" spans="1:5" x14ac:dyDescent="0.35">
      <c r="A12" s="4" t="s">
        <v>37</v>
      </c>
      <c r="B12" t="str">
        <f>INDEX(sales_data!B12:B211,MATCH(A12,sales_data!A12:A211,0))</f>
        <v>Emma Davis</v>
      </c>
      <c r="C12">
        <f>SUMIF(sales_data!A12:A211,A12,sales_data!E12:E211)</f>
        <v>6729.8899999999994</v>
      </c>
      <c r="D12">
        <f t="shared" si="0"/>
        <v>8</v>
      </c>
      <c r="E12" t="str">
        <f t="shared" si="1"/>
        <v>high value</v>
      </c>
    </row>
    <row r="13" spans="1:5" x14ac:dyDescent="0.35">
      <c r="A13" s="6" t="s">
        <v>40</v>
      </c>
      <c r="B13" t="str">
        <f>INDEX(sales_data!B13:B212,MATCH(A13,sales_data!A13:A212,0))</f>
        <v>Robert Anderson</v>
      </c>
      <c r="C13">
        <f>SUMIF(sales_data!A13:A212,A13,sales_data!E13:E212)</f>
        <v>5913.68</v>
      </c>
      <c r="D13">
        <f t="shared" si="0"/>
        <v>10</v>
      </c>
      <c r="E13" t="str">
        <f t="shared" si="1"/>
        <v>high value</v>
      </c>
    </row>
    <row r="14" spans="1:5" x14ac:dyDescent="0.35">
      <c r="A14" s="4" t="s">
        <v>41</v>
      </c>
      <c r="B14" t="str">
        <f>INDEX(sales_data!B14:B213,MATCH(A14,sales_data!A14:A213,0))</f>
        <v>David Smith</v>
      </c>
      <c r="C14">
        <f>SUMIF(sales_data!A14:A213,A14,sales_data!E14:E213)</f>
        <v>5779.05</v>
      </c>
      <c r="D14">
        <f t="shared" si="0"/>
        <v>10</v>
      </c>
      <c r="E14" t="str">
        <f t="shared" si="1"/>
        <v>high value</v>
      </c>
    </row>
    <row r="15" spans="1:5" x14ac:dyDescent="0.35">
      <c r="A15" s="4" t="s">
        <v>44</v>
      </c>
      <c r="B15" t="str">
        <f>INDEX(sales_data!B15:B214,MATCH(A15,sales_data!A15:A214,0))</f>
        <v>Robert Anderson</v>
      </c>
      <c r="C15">
        <f>SUMIF(sales_data!A15:A214,A15,sales_data!E15:E214)</f>
        <v>9760.7999999999993</v>
      </c>
      <c r="D15">
        <f t="shared" si="0"/>
        <v>3</v>
      </c>
      <c r="E15" t="str">
        <f t="shared" si="1"/>
        <v>high value</v>
      </c>
    </row>
    <row r="16" spans="1:5" hidden="1" x14ac:dyDescent="0.35">
      <c r="A16" s="4" t="s">
        <v>46</v>
      </c>
      <c r="B16" t="str">
        <f>INDEX(sales_data!B16:B215,MATCH(A16,sales_data!A16:A215,0))</f>
        <v>Mary Jackson</v>
      </c>
      <c r="C16">
        <f>SUMIF(sales_data!A16:A215,A16,sales_data!E16:E215)</f>
        <v>2699.75</v>
      </c>
      <c r="D16">
        <f t="shared" si="0"/>
        <v>16</v>
      </c>
      <c r="E16" t="str">
        <f t="shared" si="1"/>
        <v>regular</v>
      </c>
    </row>
    <row r="17" spans="1:5" x14ac:dyDescent="0.35">
      <c r="A17" s="6" t="s">
        <v>49</v>
      </c>
      <c r="B17" t="str">
        <f>INDEX(sales_data!B17:B216,MATCH(A17,sales_data!A17:A216,0))</f>
        <v>Robert Anderson</v>
      </c>
      <c r="C17">
        <f>SUMIF(sales_data!A17:A216,A17,sales_data!E17:E216)</f>
        <v>4418.2800000000007</v>
      </c>
      <c r="D17">
        <f t="shared" si="0"/>
        <v>10</v>
      </c>
      <c r="E17" t="str">
        <f t="shared" si="1"/>
        <v>high value</v>
      </c>
    </row>
    <row r="18" spans="1:5" x14ac:dyDescent="0.35">
      <c r="A18" s="4" t="s">
        <v>52</v>
      </c>
      <c r="B18" t="str">
        <f>INDEX(sales_data!B18:B217,MATCH(A18,sales_data!A18:A217,0))</f>
        <v>Linda Taylor</v>
      </c>
      <c r="C18">
        <f>SUMIF(sales_data!A18:A217,A18,sales_data!E18:E217)</f>
        <v>10293.870000000001</v>
      </c>
      <c r="D18">
        <f t="shared" si="0"/>
        <v>2</v>
      </c>
      <c r="E18" t="str">
        <f t="shared" si="1"/>
        <v>high value</v>
      </c>
    </row>
    <row r="19" spans="1:5" x14ac:dyDescent="0.35">
      <c r="A19" s="4" t="s">
        <v>54</v>
      </c>
      <c r="B19" t="str">
        <f>INDEX(sales_data!B19:B218,MATCH(A19,sales_data!A19:A218,0))</f>
        <v>David Brown</v>
      </c>
      <c r="C19">
        <f>SUMIF(sales_data!A19:A218,A19,sales_data!E19:E218)</f>
        <v>6716.52</v>
      </c>
      <c r="D19">
        <f t="shared" si="0"/>
        <v>6</v>
      </c>
      <c r="E19" t="str">
        <f t="shared" si="1"/>
        <v>high value</v>
      </c>
    </row>
    <row r="20" spans="1:5" x14ac:dyDescent="0.35">
      <c r="A20" s="6" t="s">
        <v>57</v>
      </c>
      <c r="B20" t="str">
        <f>INDEX(sales_data!B20:B219,MATCH(A20,sales_data!A20:A219,0))</f>
        <v>Sarah Anderson</v>
      </c>
      <c r="C20">
        <f>SUMIF(sales_data!A20:A219,A20,sales_data!E20:E219)</f>
        <v>8740.18</v>
      </c>
      <c r="D20">
        <f t="shared" si="0"/>
        <v>2</v>
      </c>
      <c r="E20" t="str">
        <f t="shared" si="1"/>
        <v>high value</v>
      </c>
    </row>
    <row r="21" spans="1:5" x14ac:dyDescent="0.35">
      <c r="A21" s="4" t="s">
        <v>58</v>
      </c>
      <c r="B21" t="str">
        <f>INDEX(sales_data!B21:B220,MATCH(A21,sales_data!A21:A220,0))</f>
        <v>Linda Taylor</v>
      </c>
      <c r="C21">
        <f>SUMIF(sales_data!A21:A220,A21,sales_data!E21:E220)</f>
        <v>11611.060000000001</v>
      </c>
      <c r="D21">
        <f t="shared" si="0"/>
        <v>1</v>
      </c>
      <c r="E21" t="str">
        <f t="shared" si="1"/>
        <v>high value</v>
      </c>
    </row>
    <row r="22" spans="1:5" x14ac:dyDescent="0.35">
      <c r="A22" s="6" t="s">
        <v>60</v>
      </c>
      <c r="B22" t="str">
        <f>INDEX(sales_data!B22:B221,MATCH(A22,sales_data!A22:A221,0))</f>
        <v>Emma Wilson</v>
      </c>
      <c r="C22">
        <f>SUMIF(sales_data!A22:A221,A22,sales_data!E22:E221)</f>
        <v>3369.17</v>
      </c>
      <c r="D22">
        <f t="shared" si="0"/>
        <v>10</v>
      </c>
      <c r="E22" t="str">
        <f t="shared" si="1"/>
        <v>high value</v>
      </c>
    </row>
    <row r="23" spans="1:5" x14ac:dyDescent="0.35">
      <c r="A23" s="6" t="s">
        <v>63</v>
      </c>
      <c r="B23" t="str">
        <f>INDEX(sales_data!B23:B222,MATCH(A23,sales_data!A23:A222,0))</f>
        <v>Mary Davis</v>
      </c>
      <c r="C23">
        <f>SUMIF(sales_data!A23:A222,A23,sales_data!E23:E222)</f>
        <v>3762.2900000000004</v>
      </c>
      <c r="D23">
        <f t="shared" si="0"/>
        <v>9</v>
      </c>
      <c r="E23" t="str">
        <f t="shared" si="1"/>
        <v>high value</v>
      </c>
    </row>
    <row r="24" spans="1:5" x14ac:dyDescent="0.35">
      <c r="A24" s="6" t="s">
        <v>65</v>
      </c>
      <c r="B24" t="str">
        <f>INDEX(sales_data!B24:B223,MATCH(A24,sales_data!A24:A223,0))</f>
        <v>Lisa Davis</v>
      </c>
      <c r="C24">
        <f>SUMIF(sales_data!A24:A223,A24,sales_data!E24:E223)</f>
        <v>6481.43</v>
      </c>
      <c r="D24">
        <f t="shared" si="0"/>
        <v>4</v>
      </c>
      <c r="E24" t="str">
        <f t="shared" si="1"/>
        <v>high value</v>
      </c>
    </row>
    <row r="25" spans="1:5" x14ac:dyDescent="0.35">
      <c r="A25" s="4" t="s">
        <v>67</v>
      </c>
      <c r="B25" t="str">
        <f>INDEX(sales_data!B25:B224,MATCH(A25,sales_data!A25:A224,0))</f>
        <v>Emma Davis</v>
      </c>
      <c r="C25">
        <f>SUMIF(sales_data!A25:A224,A25,sales_data!E25:E224)</f>
        <v>8490.18</v>
      </c>
      <c r="D25">
        <f t="shared" si="0"/>
        <v>1</v>
      </c>
      <c r="E25" t="str">
        <f t="shared" si="1"/>
        <v>high value</v>
      </c>
    </row>
    <row r="26" spans="1:5" x14ac:dyDescent="0.35">
      <c r="A26" s="6" t="s">
        <v>68</v>
      </c>
      <c r="B26" t="str">
        <f>INDEX(sales_data!B26:B225,MATCH(A26,sales_data!A26:A225,0))</f>
        <v>David Brown</v>
      </c>
      <c r="C26">
        <f>SUMIF(sales_data!A26:A225,A26,sales_data!E26:E225)</f>
        <v>4413.71</v>
      </c>
      <c r="D26">
        <f t="shared" si="0"/>
        <v>4</v>
      </c>
      <c r="E26" t="str">
        <f t="shared" si="1"/>
        <v>high value</v>
      </c>
    </row>
    <row r="27" spans="1:5" x14ac:dyDescent="0.35">
      <c r="A27" s="4" t="s">
        <v>70</v>
      </c>
      <c r="B27" t="str">
        <f>INDEX(sales_data!B27:B226,MATCH(A27,sales_data!A27:A226,0))</f>
        <v>David Brown</v>
      </c>
      <c r="C27">
        <f>SUMIF(sales_data!A27:A226,A27,sales_data!E27:E226)</f>
        <v>7583.1299999999992</v>
      </c>
      <c r="D27">
        <f t="shared" si="0"/>
        <v>2</v>
      </c>
      <c r="E27" t="str">
        <f t="shared" si="1"/>
        <v>high value</v>
      </c>
    </row>
    <row r="28" spans="1:5" x14ac:dyDescent="0.35">
      <c r="A28" s="6" t="s">
        <v>72</v>
      </c>
      <c r="B28" t="str">
        <f>INDEX(sales_data!B28:B227,MATCH(A28,sales_data!A28:A227,0))</f>
        <v>Lisa Thomas</v>
      </c>
      <c r="C28">
        <f>SUMIF(sales_data!A28:A227,A28,sales_data!E28:E227)</f>
        <v>7813.59</v>
      </c>
      <c r="D28">
        <f t="shared" si="0"/>
        <v>1</v>
      </c>
      <c r="E28" t="str">
        <f t="shared" si="1"/>
        <v>high value</v>
      </c>
    </row>
    <row r="29" spans="1:5" x14ac:dyDescent="0.35">
      <c r="A29" s="6" t="s">
        <v>73</v>
      </c>
      <c r="B29" t="str">
        <f>INDEX(sales_data!B29:B228,MATCH(A29,sales_data!A29:A228,0))</f>
        <v>Robert Anderson</v>
      </c>
      <c r="C29">
        <f>SUMIF(sales_data!A29:A228,A29,sales_data!E29:E228)</f>
        <v>4162.4400000000005</v>
      </c>
      <c r="D29">
        <f t="shared" si="0"/>
        <v>2</v>
      </c>
      <c r="E29" t="str">
        <f t="shared" si="1"/>
        <v>high value</v>
      </c>
    </row>
    <row r="30" spans="1:5" x14ac:dyDescent="0.35">
      <c r="A30" s="4" t="s">
        <v>74</v>
      </c>
      <c r="B30" t="str">
        <f>INDEX(sales_data!B30:B229,MATCH(A30,sales_data!A30:A229,0))</f>
        <v>Emma Davis</v>
      </c>
      <c r="C30">
        <f>SUMIF(sales_data!A30:A229,A30,sales_data!E30:E229)</f>
        <v>3906.04</v>
      </c>
      <c r="D30">
        <f t="shared" si="0"/>
        <v>2</v>
      </c>
      <c r="E30" t="str">
        <f t="shared" si="1"/>
        <v>high value</v>
      </c>
    </row>
    <row r="31" spans="1:5" x14ac:dyDescent="0.35">
      <c r="A31" s="4" t="s">
        <v>75</v>
      </c>
      <c r="B31" t="str">
        <f>INDEX(sales_data!B31:B230,MATCH(A31,sales_data!A31:A230,0))</f>
        <v>Mary Jackson</v>
      </c>
      <c r="C31">
        <f>SUMIF(sales_data!A31:A230,A31,sales_data!E31:E230)</f>
        <v>4951.8899999999994</v>
      </c>
      <c r="D31">
        <f t="shared" si="0"/>
        <v>1</v>
      </c>
      <c r="E31" t="str">
        <f t="shared" si="1"/>
        <v>high value</v>
      </c>
    </row>
  </sheetData>
  <autoFilter ref="A1:E31" xr:uid="{ACE5F262-8645-4C13-8E42-2E95307C4A6C}">
    <filterColumn colId="4">
      <filters>
        <filter val="high value"/>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EED8-7521-4FC5-91DE-07E84CFCAFC1}">
  <dimension ref="A3:G34"/>
  <sheetViews>
    <sheetView workbookViewId="0">
      <selection activeCell="G11" sqref="G11"/>
    </sheetView>
  </sheetViews>
  <sheetFormatPr defaultRowHeight="14.5" x14ac:dyDescent="0.35"/>
  <cols>
    <col min="1" max="1" width="12.36328125" bestFit="1" customWidth="1"/>
    <col min="2" max="2" width="15.26953125" style="11" bestFit="1" customWidth="1"/>
    <col min="3" max="5" width="10.36328125" bestFit="1" customWidth="1"/>
    <col min="6" max="6" width="13.1796875" bestFit="1" customWidth="1"/>
    <col min="7" max="7" width="11.90625" bestFit="1" customWidth="1"/>
  </cols>
  <sheetData>
    <row r="3" spans="1:7" x14ac:dyDescent="0.35">
      <c r="A3" s="28" t="s">
        <v>127</v>
      </c>
      <c r="B3" s="28" t="s">
        <v>128</v>
      </c>
    </row>
    <row r="4" spans="1:7" x14ac:dyDescent="0.35">
      <c r="A4" s="28" t="s">
        <v>125</v>
      </c>
      <c r="B4" t="s">
        <v>12</v>
      </c>
      <c r="C4" t="s">
        <v>15</v>
      </c>
      <c r="D4" t="s">
        <v>21</v>
      </c>
      <c r="E4" t="s">
        <v>27</v>
      </c>
      <c r="F4" t="s">
        <v>39</v>
      </c>
      <c r="G4" t="s">
        <v>126</v>
      </c>
    </row>
    <row r="5" spans="1:7" x14ac:dyDescent="0.35">
      <c r="A5" s="29" t="s">
        <v>34</v>
      </c>
      <c r="B5" s="11">
        <v>11297.150000000001</v>
      </c>
      <c r="C5" s="11">
        <v>12200.26</v>
      </c>
      <c r="D5" s="11">
        <v>6621.24</v>
      </c>
      <c r="E5" s="11">
        <v>4876.96</v>
      </c>
      <c r="F5" s="11">
        <v>8472.7199999999993</v>
      </c>
      <c r="G5" s="11">
        <v>43468.33</v>
      </c>
    </row>
    <row r="6" spans="1:7" x14ac:dyDescent="0.35">
      <c r="A6" s="29" t="s">
        <v>18</v>
      </c>
      <c r="B6" s="11">
        <v>11389.090000000002</v>
      </c>
      <c r="C6" s="11">
        <v>2401.4499999999998</v>
      </c>
      <c r="D6" s="11">
        <v>2869.54</v>
      </c>
      <c r="E6" s="11">
        <v>7592.3399999999992</v>
      </c>
      <c r="F6" s="11">
        <v>8189.2200000000012</v>
      </c>
      <c r="G6" s="11">
        <v>32441.640000000003</v>
      </c>
    </row>
    <row r="7" spans="1:7" x14ac:dyDescent="0.35">
      <c r="A7" s="29" t="s">
        <v>24</v>
      </c>
      <c r="B7" s="11">
        <v>8037.0100000000011</v>
      </c>
      <c r="C7" s="11">
        <v>8422.82</v>
      </c>
      <c r="D7" s="11">
        <v>8191.7099999999991</v>
      </c>
      <c r="E7" s="11">
        <v>6978.08</v>
      </c>
      <c r="F7" s="11">
        <v>3345.8</v>
      </c>
      <c r="G7" s="11">
        <v>34975.420000000006</v>
      </c>
    </row>
    <row r="8" spans="1:7" x14ac:dyDescent="0.35">
      <c r="A8" s="29" t="s">
        <v>20</v>
      </c>
      <c r="B8" s="11">
        <v>9588.0400000000009</v>
      </c>
      <c r="C8" s="11">
        <v>8393.630000000001</v>
      </c>
      <c r="D8" s="11">
        <v>11989.070000000003</v>
      </c>
      <c r="E8" s="11">
        <v>7982.73</v>
      </c>
      <c r="F8" s="11">
        <v>2295.3199999999997</v>
      </c>
      <c r="G8" s="11">
        <v>40248.79</v>
      </c>
    </row>
    <row r="9" spans="1:7" x14ac:dyDescent="0.35">
      <c r="A9" s="29" t="s">
        <v>11</v>
      </c>
      <c r="B9" s="11">
        <v>6691.17</v>
      </c>
      <c r="C9" s="11">
        <v>10509.429999999998</v>
      </c>
      <c r="D9" s="11">
        <v>11372.44</v>
      </c>
      <c r="E9" s="11">
        <v>9182.7800000000007</v>
      </c>
      <c r="F9" s="11">
        <v>6327.76</v>
      </c>
      <c r="G9" s="11">
        <v>44083.58</v>
      </c>
    </row>
    <row r="10" spans="1:7" x14ac:dyDescent="0.35">
      <c r="A10" s="29" t="s">
        <v>126</v>
      </c>
      <c r="B10" s="11">
        <v>47002.460000000006</v>
      </c>
      <c r="C10" s="11">
        <v>41927.589999999997</v>
      </c>
      <c r="D10" s="11">
        <v>41044</v>
      </c>
      <c r="E10" s="11">
        <v>36612.89</v>
      </c>
      <c r="F10" s="11">
        <v>28630.82</v>
      </c>
      <c r="G10" s="11">
        <v>195217.76</v>
      </c>
    </row>
    <row r="11" spans="1:7" x14ac:dyDescent="0.35">
      <c r="B11"/>
    </row>
    <row r="12" spans="1:7" x14ac:dyDescent="0.35">
      <c r="B12"/>
    </row>
    <row r="13" spans="1:7" x14ac:dyDescent="0.35">
      <c r="B13"/>
    </row>
    <row r="14" spans="1:7" x14ac:dyDescent="0.35">
      <c r="B14"/>
    </row>
    <row r="15" spans="1:7" x14ac:dyDescent="0.35">
      <c r="B15"/>
    </row>
    <row r="16" spans="1:7"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0905-63EC-4D5A-BA3F-7B20EDD816F7}">
  <dimension ref="A3:B9"/>
  <sheetViews>
    <sheetView workbookViewId="0">
      <selection activeCell="L9" sqref="L9"/>
    </sheetView>
  </sheetViews>
  <sheetFormatPr defaultRowHeight="14.5" x14ac:dyDescent="0.35"/>
  <cols>
    <col min="1" max="1" width="12.36328125" bestFit="1" customWidth="1"/>
    <col min="2" max="2" width="11.26953125" bestFit="1" customWidth="1"/>
  </cols>
  <sheetData>
    <row r="3" spans="1:2" x14ac:dyDescent="0.35">
      <c r="A3" s="28" t="s">
        <v>125</v>
      </c>
      <c r="B3" t="s">
        <v>127</v>
      </c>
    </row>
    <row r="4" spans="1:2" x14ac:dyDescent="0.35">
      <c r="A4" s="29" t="s">
        <v>34</v>
      </c>
      <c r="B4">
        <v>43468.33</v>
      </c>
    </row>
    <row r="5" spans="1:2" x14ac:dyDescent="0.35">
      <c r="A5" s="29" t="s">
        <v>18</v>
      </c>
      <c r="B5">
        <v>32441.64</v>
      </c>
    </row>
    <row r="6" spans="1:2" x14ac:dyDescent="0.35">
      <c r="A6" s="29" t="s">
        <v>24</v>
      </c>
      <c r="B6">
        <v>34975.42</v>
      </c>
    </row>
    <row r="7" spans="1:2" x14ac:dyDescent="0.35">
      <c r="A7" s="29" t="s">
        <v>20</v>
      </c>
      <c r="B7">
        <v>40248.79</v>
      </c>
    </row>
    <row r="8" spans="1:2" x14ac:dyDescent="0.35">
      <c r="A8" s="29" t="s">
        <v>11</v>
      </c>
      <c r="B8">
        <v>44083.58</v>
      </c>
    </row>
    <row r="9" spans="1:2" x14ac:dyDescent="0.35">
      <c r="A9" s="29" t="s">
        <v>126</v>
      </c>
      <c r="B9">
        <v>195217.76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9301-42E3-4D3B-97F0-1612C543A760}">
  <dimension ref="A3:B9"/>
  <sheetViews>
    <sheetView topLeftCell="B1" zoomScale="71" workbookViewId="0">
      <selection activeCell="U10" sqref="U10"/>
    </sheetView>
  </sheetViews>
  <sheetFormatPr defaultRowHeight="14.5" x14ac:dyDescent="0.35"/>
  <cols>
    <col min="1" max="1" width="23.54296875" bestFit="1" customWidth="1"/>
    <col min="2" max="2" width="20.54296875" customWidth="1"/>
  </cols>
  <sheetData>
    <row r="3" spans="1:2" ht="26" x14ac:dyDescent="0.6">
      <c r="A3" s="31" t="s">
        <v>125</v>
      </c>
      <c r="B3" s="32" t="s">
        <v>127</v>
      </c>
    </row>
    <row r="4" spans="1:2" ht="26" x14ac:dyDescent="0.6">
      <c r="A4" s="33" t="s">
        <v>12</v>
      </c>
      <c r="B4" s="32">
        <v>47002.460000000006</v>
      </c>
    </row>
    <row r="5" spans="1:2" ht="26" x14ac:dyDescent="0.6">
      <c r="A5" s="33" t="s">
        <v>15</v>
      </c>
      <c r="B5" s="32">
        <v>41927.589999999989</v>
      </c>
    </row>
    <row r="6" spans="1:2" ht="26" x14ac:dyDescent="0.6">
      <c r="A6" s="33" t="s">
        <v>21</v>
      </c>
      <c r="B6" s="32">
        <v>41044.000000000007</v>
      </c>
    </row>
    <row r="7" spans="1:2" ht="26" x14ac:dyDescent="0.6">
      <c r="A7" s="33" t="s">
        <v>27</v>
      </c>
      <c r="B7" s="32">
        <v>36612.89</v>
      </c>
    </row>
    <row r="8" spans="1:2" ht="26" x14ac:dyDescent="0.6">
      <c r="A8" s="33" t="s">
        <v>39</v>
      </c>
      <c r="B8" s="32">
        <v>28630.819999999992</v>
      </c>
    </row>
    <row r="9" spans="1:2" ht="26" x14ac:dyDescent="0.6">
      <c r="A9" s="33" t="s">
        <v>126</v>
      </c>
      <c r="B9" s="32">
        <v>195217.76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2170-DB48-4EDE-8F70-E69199AA5F92}">
  <dimension ref="A1:AJ15"/>
  <sheetViews>
    <sheetView tabSelected="1" zoomScale="22" zoomScaleNormal="45" workbookViewId="0">
      <selection activeCell="AU54" sqref="AU54"/>
    </sheetView>
  </sheetViews>
  <sheetFormatPr defaultRowHeight="14.5" x14ac:dyDescent="0.35"/>
  <cols>
    <col min="1" max="1" width="22" customWidth="1"/>
    <col min="2" max="2" width="17" customWidth="1"/>
    <col min="36" max="36" width="8.7265625" customWidth="1"/>
  </cols>
  <sheetData>
    <row r="1" spans="1:36" ht="14.5" customHeight="1" x14ac:dyDescent="0.35">
      <c r="A1" s="35" t="s">
        <v>135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row>
    <row r="2" spans="1:36" ht="14.5" customHeight="1" x14ac:dyDescent="0.3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row>
    <row r="3" spans="1:36" ht="14.5" customHeight="1" x14ac:dyDescent="0.35">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row>
    <row r="4" spans="1:36" ht="14.5" customHeight="1" x14ac:dyDescent="0.35">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row>
    <row r="5" spans="1:36" ht="14.5" customHeight="1" x14ac:dyDescent="0.35">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row>
    <row r="6" spans="1:36" ht="14.5" customHeight="1" x14ac:dyDescent="0.35">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row>
    <row r="7" spans="1:36" ht="14.5" customHeight="1" x14ac:dyDescent="0.35">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row>
    <row r="11" spans="1:36" ht="23.5" x14ac:dyDescent="0.55000000000000004">
      <c r="A11" s="34" t="s">
        <v>129</v>
      </c>
      <c r="B11" s="34" t="s">
        <v>130</v>
      </c>
    </row>
    <row r="12" spans="1:36" ht="23.5" x14ac:dyDescent="0.55000000000000004">
      <c r="A12" s="30" t="s">
        <v>131</v>
      </c>
      <c r="B12" s="30">
        <f>SUM(sales_data!E2:E201)</f>
        <v>195217.75999999992</v>
      </c>
    </row>
    <row r="13" spans="1:36" ht="23.5" x14ac:dyDescent="0.55000000000000004">
      <c r="A13" s="30" t="s">
        <v>132</v>
      </c>
      <c r="B13" s="30">
        <f>SUM(sales_data!I2:I201)</f>
        <v>68287.010000000009</v>
      </c>
    </row>
    <row r="14" spans="1:36" ht="23.5" x14ac:dyDescent="0.55000000000000004">
      <c r="A14" s="30" t="s">
        <v>133</v>
      </c>
      <c r="B14" s="30">
        <f>COUNTA(sales_data!A2:A201)</f>
        <v>200</v>
      </c>
    </row>
    <row r="15" spans="1:36" ht="23.5" x14ac:dyDescent="0.55000000000000004">
      <c r="A15" s="30" t="s">
        <v>134</v>
      </c>
      <c r="B15" s="30">
        <f>AVERAGE(sales_data!E2:E201)</f>
        <v>976.08879999999965</v>
      </c>
    </row>
  </sheetData>
  <mergeCells count="1">
    <mergeCell ref="A1:A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Sheet20</vt:lpstr>
      <vt:lpstr>sales_data</vt:lpstr>
      <vt:lpstr>conditional formating</vt:lpstr>
      <vt:lpstr>what_if_analysis</vt:lpstr>
      <vt:lpstr>regression</vt:lpstr>
      <vt:lpstr>descriptive_stats</vt:lpstr>
      <vt:lpstr>monthaly analysis</vt:lpstr>
      <vt:lpstr>customer analysis</vt:lpstr>
      <vt:lpstr>pivot_analysis</vt:lpstr>
      <vt:lpstr>bar chart by region</vt:lpstr>
      <vt:lpstr>pie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Pranami</dc:creator>
  <cp:lastModifiedBy>Raj Pranami</cp:lastModifiedBy>
  <dcterms:created xsi:type="dcterms:W3CDTF">2026-10-23T02:58:42Z</dcterms:created>
  <dcterms:modified xsi:type="dcterms:W3CDTF">2026-10-23T09:01:32Z</dcterms:modified>
</cp:coreProperties>
</file>